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hidePivotFieldList="1" defaultThemeVersion="166925"/>
  <xr:revisionPtr revIDLastSave="342" documentId="11_E60897F41BE170836B02CE998F75CCDC64E183C8" xr6:coauthVersionLast="47" xr6:coauthVersionMax="47" xr10:uidLastSave="{AC569DAF-D32C-4B3A-AE45-F6A5640189A1}"/>
  <bookViews>
    <workbookView xWindow="240" yWindow="105" windowWidth="14805" windowHeight="8010" firstSheet="3" activeTab="3" xr2:uid="{00000000-000D-0000-FFFF-FFFF00000000}"/>
  </bookViews>
  <sheets>
    <sheet name="Raw_Data" sheetId="1" r:id="rId1"/>
    <sheet name="Analysis" sheetId="2" r:id="rId2"/>
    <sheet name="Segments" sheetId="3" r:id="rId3"/>
    <sheet name="Dashboard" sheetId="4" r:id="rId4"/>
  </sheets>
  <calcPr calcId="191028"/>
  <pivotCaches>
    <pivotCache cacheId="607" r:id="rId5"/>
    <pivotCache cacheId="65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0" i="3" l="1"/>
  <c r="G145" i="3"/>
  <c r="G181" i="3"/>
  <c r="G146" i="3"/>
  <c r="G52" i="3"/>
  <c r="G147" i="3"/>
  <c r="G182" i="3"/>
  <c r="G148" i="3"/>
  <c r="G183" i="3"/>
  <c r="G149" i="3"/>
  <c r="G184" i="3"/>
  <c r="G150" i="3"/>
  <c r="G185" i="3"/>
  <c r="G151" i="3"/>
  <c r="G186" i="3"/>
  <c r="G152" i="3"/>
  <c r="G187" i="3"/>
  <c r="G153" i="3"/>
  <c r="G188" i="3"/>
  <c r="G154" i="3"/>
  <c r="G189" i="3"/>
  <c r="G155" i="3"/>
  <c r="G190" i="3"/>
  <c r="G156" i="3"/>
  <c r="G191" i="3"/>
  <c r="G157" i="3"/>
  <c r="G192" i="3"/>
  <c r="G158" i="3"/>
  <c r="G193" i="3"/>
  <c r="G159" i="3"/>
  <c r="G194" i="3"/>
  <c r="G160" i="3"/>
  <c r="G195" i="3"/>
  <c r="G161" i="3"/>
  <c r="G196" i="3"/>
  <c r="G162" i="3"/>
  <c r="G197" i="3"/>
  <c r="G163" i="3"/>
  <c r="G198" i="3"/>
  <c r="G164" i="3"/>
  <c r="G199" i="3"/>
  <c r="G165" i="3"/>
  <c r="G200" i="3"/>
  <c r="G166" i="3"/>
  <c r="G201" i="3"/>
  <c r="G167" i="3"/>
  <c r="G168" i="3"/>
  <c r="G53" i="3"/>
  <c r="G54" i="3"/>
  <c r="G55" i="3"/>
  <c r="G56" i="3"/>
  <c r="G169" i="3"/>
  <c r="G57" i="3"/>
  <c r="G170" i="3"/>
  <c r="G58" i="3"/>
  <c r="G59" i="3"/>
  <c r="G60" i="3"/>
  <c r="G61" i="3"/>
  <c r="G62" i="3"/>
  <c r="G63" i="3"/>
  <c r="G171" i="3"/>
  <c r="G172" i="3"/>
  <c r="G64" i="3"/>
  <c r="G173" i="3"/>
  <c r="G65" i="3"/>
  <c r="G174" i="3"/>
  <c r="G66" i="3"/>
  <c r="G67" i="3"/>
  <c r="G175" i="3"/>
  <c r="G68" i="3"/>
  <c r="G176" i="3"/>
  <c r="G69" i="3"/>
  <c r="G70" i="3"/>
  <c r="G177" i="3"/>
  <c r="G71" i="3"/>
  <c r="G72" i="3"/>
  <c r="G73" i="3"/>
  <c r="G74" i="3"/>
  <c r="G75" i="3"/>
  <c r="G76" i="3"/>
  <c r="G77" i="3"/>
  <c r="G178" i="3"/>
  <c r="G78" i="3"/>
  <c r="G79" i="3"/>
  <c r="G179" i="3"/>
  <c r="G80" i="3"/>
  <c r="G2" i="3"/>
  <c r="G3" i="3"/>
  <c r="G4" i="3"/>
  <c r="G81" i="3"/>
  <c r="G5" i="3"/>
  <c r="G82" i="3"/>
  <c r="G83" i="3"/>
  <c r="G84" i="3"/>
  <c r="G85" i="3"/>
  <c r="G86" i="3"/>
  <c r="G87" i="3"/>
  <c r="G88" i="3"/>
  <c r="G89" i="3"/>
  <c r="G90" i="3"/>
  <c r="G91" i="3"/>
  <c r="G92" i="3"/>
  <c r="G6" i="3"/>
  <c r="G7" i="3"/>
  <c r="G8" i="3"/>
  <c r="G93" i="3"/>
  <c r="G94" i="3"/>
  <c r="G95" i="3"/>
  <c r="G96" i="3"/>
  <c r="G97" i="3"/>
  <c r="G98" i="3"/>
  <c r="G99" i="3"/>
  <c r="G100" i="3"/>
  <c r="G101" i="3"/>
  <c r="G102" i="3"/>
  <c r="G103" i="3"/>
  <c r="G104" i="3"/>
  <c r="G9" i="3"/>
  <c r="G105" i="3"/>
  <c r="G10" i="3"/>
  <c r="G11" i="3"/>
  <c r="G106" i="3"/>
  <c r="G12" i="3"/>
  <c r="G13" i="3"/>
  <c r="G107" i="3"/>
  <c r="G14" i="3"/>
  <c r="G108" i="3"/>
  <c r="G15" i="3"/>
  <c r="G109" i="3"/>
  <c r="G16" i="3"/>
  <c r="G110" i="3"/>
  <c r="G17" i="3"/>
  <c r="G111" i="3"/>
  <c r="G18" i="3"/>
  <c r="G112" i="3"/>
  <c r="G19" i="3"/>
  <c r="G113" i="3"/>
  <c r="G20" i="3"/>
  <c r="G114" i="3"/>
  <c r="G21" i="3"/>
  <c r="G115" i="3"/>
  <c r="G22" i="3"/>
  <c r="G116" i="3"/>
  <c r="G23" i="3"/>
  <c r="G117" i="3"/>
  <c r="G24" i="3"/>
  <c r="G118" i="3"/>
  <c r="G25" i="3"/>
  <c r="G119" i="3"/>
  <c r="G26" i="3"/>
  <c r="G120" i="3"/>
  <c r="G27" i="3"/>
  <c r="G121" i="3"/>
  <c r="G28" i="3"/>
  <c r="G122" i="3"/>
  <c r="G29" i="3"/>
  <c r="G123" i="3"/>
  <c r="G30" i="3"/>
  <c r="G124" i="3"/>
  <c r="G31" i="3"/>
  <c r="G125" i="3"/>
  <c r="G32" i="3"/>
  <c r="G126" i="3"/>
  <c r="G33" i="3"/>
  <c r="G127" i="3"/>
  <c r="G34" i="3"/>
  <c r="G128" i="3"/>
  <c r="G35" i="3"/>
  <c r="G129" i="3"/>
  <c r="G36" i="3"/>
  <c r="G130" i="3"/>
  <c r="G37" i="3"/>
  <c r="G131" i="3"/>
  <c r="G38" i="3"/>
  <c r="G132" i="3"/>
  <c r="G39" i="3"/>
  <c r="G133" i="3"/>
  <c r="G40" i="3"/>
  <c r="G134" i="3"/>
  <c r="G41" i="3"/>
  <c r="G135" i="3"/>
  <c r="G42" i="3"/>
  <c r="G136" i="3"/>
  <c r="G43" i="3"/>
  <c r="G137" i="3"/>
  <c r="G44" i="3"/>
  <c r="G138" i="3"/>
  <c r="G45" i="3"/>
  <c r="G139" i="3"/>
  <c r="G46" i="3"/>
  <c r="G140" i="3"/>
  <c r="G47" i="3"/>
  <c r="G141" i="3"/>
  <c r="G48" i="3"/>
  <c r="G142" i="3"/>
  <c r="G49" i="3"/>
  <c r="G143" i="3"/>
  <c r="G50" i="3"/>
  <c r="G144" i="3"/>
  <c r="G51" i="3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<sst xmlns="http://schemas.openxmlformats.org/spreadsheetml/2006/main" count="654" uniqueCount="36">
  <si>
    <t>CustomerID</t>
  </si>
  <si>
    <t>Gender</t>
  </si>
  <si>
    <t>Age</t>
  </si>
  <si>
    <t>Annual Income (k$)</t>
  </si>
  <si>
    <t>Spending Score (1-100)</t>
  </si>
  <si>
    <t xml:space="preserve">Age Group </t>
  </si>
  <si>
    <t>Male</t>
  </si>
  <si>
    <t>Female</t>
  </si>
  <si>
    <t>Average of Annual Income (k$)</t>
  </si>
  <si>
    <t>Average of Spending Score (1-100)</t>
  </si>
  <si>
    <t>Count of CustomerID</t>
  </si>
  <si>
    <t>18-25</t>
  </si>
  <si>
    <t>26-35</t>
  </si>
  <si>
    <t>36-45</t>
  </si>
  <si>
    <t>Grand Total</t>
  </si>
  <si>
    <t>46-55</t>
  </si>
  <si>
    <t>55+</t>
  </si>
  <si>
    <t xml:space="preserve">Segment </t>
  </si>
  <si>
    <t>Budget Conscious</t>
  </si>
  <si>
    <t>High Earners Low Spend</t>
  </si>
  <si>
    <t>Impulsive Buyers</t>
  </si>
  <si>
    <t>Mid-Market</t>
  </si>
  <si>
    <t>Premium Loyalists</t>
  </si>
  <si>
    <t>Segment</t>
  </si>
  <si>
    <t>No. of Customers</t>
  </si>
  <si>
    <t>Avg Income (k$)</t>
  </si>
  <si>
    <t>Avg Spending Score</t>
  </si>
  <si>
    <t xml:space="preserve">Profile </t>
  </si>
  <si>
    <t xml:space="preserve">Premium Loyalists </t>
  </si>
  <si>
    <t xml:space="preserve">Best customers - high value, high engagement </t>
  </si>
  <si>
    <t xml:space="preserve">High engagement but lower means - price sensitive </t>
  </si>
  <si>
    <t>Mid-MArket</t>
  </si>
  <si>
    <t>Stable but unremarkable - growth opportunity</t>
  </si>
  <si>
    <t>High Earners, low Spend</t>
  </si>
  <si>
    <t xml:space="preserve">Untapped potential - need targeted incentives </t>
  </si>
  <si>
    <t xml:space="preserve">Lowest priority - high effort, low return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</si>
</sst>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5">
    <dxf>
      <alignment horizontal="center" vertical="center"/>
    </dxf>
    <dxf>
      <alignment horizontal="center" vertical="center"/>
    </dxf>
    <dxf>
      <alignment horizontal="center" vertical="center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Segments: Income vs Spending Score</a:t>
            </a:r>
          </a:p>
        </c:rich>
      </c:tx>
      <c:layout>
        <c:manualLayout>
          <c:xMode val="edge"/>
          <c:yMode val="edge"/>
          <c:x val="0.24372876947576347"/>
          <c:y val="2.22948792569357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{"Premium Loyalists "}</c:f>
              <c:strCache>
                <c:ptCount val="1"/>
                <c:pt idx="0">
                  <c:v>Premium Loyalists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Segments!D2:D51</c:f>
              <c:numCache>
                <c:formatCode>General</c:formatCode>
                <c:ptCount val="50"/>
                <c:pt idx="0">
                  <c:v>57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62</c:v>
                </c:pt>
                <c:pt idx="5">
                  <c:v>62</c:v>
                </c:pt>
                <c:pt idx="6">
                  <c:v>62</c:v>
                </c:pt>
                <c:pt idx="7">
                  <c:v>65</c:v>
                </c:pt>
                <c:pt idx="8">
                  <c:v>67</c:v>
                </c:pt>
                <c:pt idx="9">
                  <c:v>67</c:v>
                </c:pt>
                <c:pt idx="10">
                  <c:v>69</c:v>
                </c:pt>
                <c:pt idx="11">
                  <c:v>69</c:v>
                </c:pt>
                <c:pt idx="12">
                  <c:v>70</c:v>
                </c:pt>
                <c:pt idx="13">
                  <c:v>71</c:v>
                </c:pt>
                <c:pt idx="14">
                  <c:v>71</c:v>
                </c:pt>
                <c:pt idx="15">
                  <c:v>71</c:v>
                </c:pt>
                <c:pt idx="16">
                  <c:v>72</c:v>
                </c:pt>
                <c:pt idx="17">
                  <c:v>73</c:v>
                </c:pt>
                <c:pt idx="18">
                  <c:v>73</c:v>
                </c:pt>
                <c:pt idx="19">
                  <c:v>74</c:v>
                </c:pt>
                <c:pt idx="20">
                  <c:v>75</c:v>
                </c:pt>
                <c:pt idx="21">
                  <c:v>76</c:v>
                </c:pt>
                <c:pt idx="22">
                  <c:v>77</c:v>
                </c:pt>
                <c:pt idx="23">
                  <c:v>77</c:v>
                </c:pt>
                <c:pt idx="24">
                  <c:v>78</c:v>
                </c:pt>
                <c:pt idx="25">
                  <c:v>78</c:v>
                </c:pt>
                <c:pt idx="26">
                  <c:v>78</c:v>
                </c:pt>
                <c:pt idx="27">
                  <c:v>78</c:v>
                </c:pt>
                <c:pt idx="28">
                  <c:v>78</c:v>
                </c:pt>
                <c:pt idx="29">
                  <c:v>78</c:v>
                </c:pt>
                <c:pt idx="30">
                  <c:v>79</c:v>
                </c:pt>
                <c:pt idx="31">
                  <c:v>81</c:v>
                </c:pt>
                <c:pt idx="32">
                  <c:v>85</c:v>
                </c:pt>
                <c:pt idx="33">
                  <c:v>86</c:v>
                </c:pt>
                <c:pt idx="34">
                  <c:v>87</c:v>
                </c:pt>
                <c:pt idx="35">
                  <c:v>87</c:v>
                </c:pt>
                <c:pt idx="36">
                  <c:v>87</c:v>
                </c:pt>
                <c:pt idx="37">
                  <c:v>88</c:v>
                </c:pt>
                <c:pt idx="38">
                  <c:v>88</c:v>
                </c:pt>
                <c:pt idx="39">
                  <c:v>93</c:v>
                </c:pt>
                <c:pt idx="40">
                  <c:v>97</c:v>
                </c:pt>
                <c:pt idx="41">
                  <c:v>98</c:v>
                </c:pt>
                <c:pt idx="42">
                  <c:v>99</c:v>
                </c:pt>
                <c:pt idx="43">
                  <c:v>101</c:v>
                </c:pt>
                <c:pt idx="44">
                  <c:v>103</c:v>
                </c:pt>
                <c:pt idx="45">
                  <c:v>103</c:v>
                </c:pt>
                <c:pt idx="46">
                  <c:v>113</c:v>
                </c:pt>
                <c:pt idx="47">
                  <c:v>120</c:v>
                </c:pt>
                <c:pt idx="48">
                  <c:v>126</c:v>
                </c:pt>
                <c:pt idx="49">
                  <c:v>137</c:v>
                </c:pt>
              </c:numCache>
            </c:numRef>
          </c:xVal>
          <c:yVal>
            <c:numRef>
              <c:f>Segments!E2:E51</c:f>
              <c:numCache>
                <c:formatCode>General</c:formatCode>
                <c:ptCount val="50"/>
                <c:pt idx="0">
                  <c:v>58</c:v>
                </c:pt>
                <c:pt idx="1">
                  <c:v>55</c:v>
                </c:pt>
                <c:pt idx="2">
                  <c:v>60</c:v>
                </c:pt>
                <c:pt idx="3">
                  <c:v>55</c:v>
                </c:pt>
                <c:pt idx="4">
                  <c:v>59</c:v>
                </c:pt>
                <c:pt idx="5">
                  <c:v>55</c:v>
                </c:pt>
                <c:pt idx="6">
                  <c:v>56</c:v>
                </c:pt>
                <c:pt idx="7">
                  <c:v>59</c:v>
                </c:pt>
                <c:pt idx="8">
                  <c:v>57</c:v>
                </c:pt>
                <c:pt idx="9">
                  <c:v>56</c:v>
                </c:pt>
                <c:pt idx="10">
                  <c:v>58</c:v>
                </c:pt>
                <c:pt idx="11">
                  <c:v>91</c:v>
                </c:pt>
                <c:pt idx="12">
                  <c:v>77</c:v>
                </c:pt>
                <c:pt idx="13">
                  <c:v>95</c:v>
                </c:pt>
                <c:pt idx="14">
                  <c:v>75</c:v>
                </c:pt>
                <c:pt idx="15">
                  <c:v>75</c:v>
                </c:pt>
                <c:pt idx="16">
                  <c:v>71</c:v>
                </c:pt>
                <c:pt idx="17">
                  <c:v>88</c:v>
                </c:pt>
                <c:pt idx="18">
                  <c:v>73</c:v>
                </c:pt>
                <c:pt idx="19">
                  <c:v>72</c:v>
                </c:pt>
                <c:pt idx="20">
                  <c:v>93</c:v>
                </c:pt>
                <c:pt idx="21">
                  <c:v>87</c:v>
                </c:pt>
                <c:pt idx="22">
                  <c:v>97</c:v>
                </c:pt>
                <c:pt idx="23">
                  <c:v>74</c:v>
                </c:pt>
                <c:pt idx="24">
                  <c:v>90</c:v>
                </c:pt>
                <c:pt idx="25">
                  <c:v>88</c:v>
                </c:pt>
                <c:pt idx="26">
                  <c:v>76</c:v>
                </c:pt>
                <c:pt idx="27">
                  <c:v>89</c:v>
                </c:pt>
                <c:pt idx="28">
                  <c:v>78</c:v>
                </c:pt>
                <c:pt idx="29">
                  <c:v>73</c:v>
                </c:pt>
                <c:pt idx="30">
                  <c:v>83</c:v>
                </c:pt>
                <c:pt idx="31">
                  <c:v>93</c:v>
                </c:pt>
                <c:pt idx="32">
                  <c:v>75</c:v>
                </c:pt>
                <c:pt idx="33">
                  <c:v>95</c:v>
                </c:pt>
                <c:pt idx="34">
                  <c:v>63</c:v>
                </c:pt>
                <c:pt idx="35">
                  <c:v>75</c:v>
                </c:pt>
                <c:pt idx="36">
                  <c:v>92</c:v>
                </c:pt>
                <c:pt idx="37">
                  <c:v>86</c:v>
                </c:pt>
                <c:pt idx="38">
                  <c:v>69</c:v>
                </c:pt>
                <c:pt idx="39">
                  <c:v>90</c:v>
                </c:pt>
                <c:pt idx="40">
                  <c:v>86</c:v>
                </c:pt>
                <c:pt idx="41">
                  <c:v>88</c:v>
                </c:pt>
                <c:pt idx="42">
                  <c:v>97</c:v>
                </c:pt>
                <c:pt idx="43">
                  <c:v>68</c:v>
                </c:pt>
                <c:pt idx="44">
                  <c:v>85</c:v>
                </c:pt>
                <c:pt idx="45">
                  <c:v>69</c:v>
                </c:pt>
                <c:pt idx="46">
                  <c:v>91</c:v>
                </c:pt>
                <c:pt idx="47">
                  <c:v>79</c:v>
                </c:pt>
                <c:pt idx="48">
                  <c:v>74</c:v>
                </c:pt>
                <c:pt idx="49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F2-419F-8589-87C2DCF9189F}"/>
            </c:ext>
          </c:extLst>
        </c:ser>
        <c:ser>
          <c:idx val="1"/>
          <c:order val="1"/>
          <c:tx>
            <c:strRef>
              <c:f>{"Mid-Market"}</c:f>
              <c:strCache>
                <c:ptCount val="1"/>
                <c:pt idx="0">
                  <c:v>Mid-Market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Segments!D52:D80</c:f>
              <c:numCache>
                <c:formatCode>General</c:formatCode>
                <c:ptCount val="29"/>
                <c:pt idx="0">
                  <c:v>17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42</c:v>
                </c:pt>
                <c:pt idx="5">
                  <c:v>43</c:v>
                </c:pt>
                <c:pt idx="6">
                  <c:v>43</c:v>
                </c:pt>
                <c:pt idx="7">
                  <c:v>43</c:v>
                </c:pt>
                <c:pt idx="8">
                  <c:v>44</c:v>
                </c:pt>
                <c:pt idx="9">
                  <c:v>44</c:v>
                </c:pt>
                <c:pt idx="10">
                  <c:v>46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49</c:v>
                </c:pt>
                <c:pt idx="18">
                  <c:v>50</c:v>
                </c:pt>
                <c:pt idx="19">
                  <c:v>54</c:v>
                </c:pt>
                <c:pt idx="20">
                  <c:v>54</c:v>
                </c:pt>
                <c:pt idx="21">
                  <c:v>54</c:v>
                </c:pt>
                <c:pt idx="22">
                  <c:v>54</c:v>
                </c:pt>
                <c:pt idx="23">
                  <c:v>54</c:v>
                </c:pt>
                <c:pt idx="24">
                  <c:v>54</c:v>
                </c:pt>
                <c:pt idx="25">
                  <c:v>54</c:v>
                </c:pt>
                <c:pt idx="26">
                  <c:v>54</c:v>
                </c:pt>
                <c:pt idx="27">
                  <c:v>54</c:v>
                </c:pt>
                <c:pt idx="28">
                  <c:v>54</c:v>
                </c:pt>
              </c:numCache>
            </c:numRef>
          </c:xVal>
          <c:yVal>
            <c:numRef>
              <c:f>Segments!E52:E80</c:f>
              <c:numCache>
                <c:formatCode>General</c:formatCode>
                <c:ptCount val="29"/>
                <c:pt idx="0">
                  <c:v>40</c:v>
                </c:pt>
                <c:pt idx="1">
                  <c:v>47</c:v>
                </c:pt>
                <c:pt idx="2">
                  <c:v>42</c:v>
                </c:pt>
                <c:pt idx="3">
                  <c:v>42</c:v>
                </c:pt>
                <c:pt idx="4">
                  <c:v>52</c:v>
                </c:pt>
                <c:pt idx="5">
                  <c:v>54</c:v>
                </c:pt>
                <c:pt idx="6">
                  <c:v>45</c:v>
                </c:pt>
                <c:pt idx="7">
                  <c:v>41</c:v>
                </c:pt>
                <c:pt idx="8">
                  <c:v>50</c:v>
                </c:pt>
                <c:pt idx="9">
                  <c:v>46</c:v>
                </c:pt>
                <c:pt idx="10">
                  <c:v>51</c:v>
                </c:pt>
                <c:pt idx="11">
                  <c:v>46</c:v>
                </c:pt>
                <c:pt idx="12">
                  <c:v>52</c:v>
                </c:pt>
                <c:pt idx="13">
                  <c:v>51</c:v>
                </c:pt>
                <c:pt idx="14">
                  <c:v>50</c:v>
                </c:pt>
                <c:pt idx="15">
                  <c:v>48</c:v>
                </c:pt>
                <c:pt idx="16">
                  <c:v>47</c:v>
                </c:pt>
                <c:pt idx="17">
                  <c:v>42</c:v>
                </c:pt>
                <c:pt idx="18">
                  <c:v>49</c:v>
                </c:pt>
                <c:pt idx="19">
                  <c:v>47</c:v>
                </c:pt>
                <c:pt idx="20">
                  <c:v>54</c:v>
                </c:pt>
                <c:pt idx="21">
                  <c:v>53</c:v>
                </c:pt>
                <c:pt idx="22">
                  <c:v>48</c:v>
                </c:pt>
                <c:pt idx="23">
                  <c:v>52</c:v>
                </c:pt>
                <c:pt idx="24">
                  <c:v>42</c:v>
                </c:pt>
                <c:pt idx="25">
                  <c:v>51</c:v>
                </c:pt>
                <c:pt idx="26">
                  <c:v>41</c:v>
                </c:pt>
                <c:pt idx="27">
                  <c:v>44</c:v>
                </c:pt>
                <c:pt idx="28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F2-419F-8589-87C2DCF9189F}"/>
            </c:ext>
          </c:extLst>
        </c:ser>
        <c:ser>
          <c:idx val="2"/>
          <c:order val="2"/>
          <c:tx>
            <c:strRef>
              <c:f>{"Impulsive Buyers"}</c:f>
              <c:strCache>
                <c:ptCount val="1"/>
                <c:pt idx="0">
                  <c:v>Impulsive Buyers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Segments!D81:D144</c:f>
              <c:numCache>
                <c:formatCode>General</c:formatCode>
                <c:ptCount val="64"/>
                <c:pt idx="0">
                  <c:v>58</c:v>
                </c:pt>
                <c:pt idx="1">
                  <c:v>59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61</c:v>
                </c:pt>
                <c:pt idx="9">
                  <c:v>61</c:v>
                </c:pt>
                <c:pt idx="10">
                  <c:v>62</c:v>
                </c:pt>
                <c:pt idx="11">
                  <c:v>62</c:v>
                </c:pt>
                <c:pt idx="12">
                  <c:v>62</c:v>
                </c:pt>
                <c:pt idx="13">
                  <c:v>63</c:v>
                </c:pt>
                <c:pt idx="14">
                  <c:v>63</c:v>
                </c:pt>
                <c:pt idx="15">
                  <c:v>63</c:v>
                </c:pt>
                <c:pt idx="16">
                  <c:v>63</c:v>
                </c:pt>
                <c:pt idx="17">
                  <c:v>63</c:v>
                </c:pt>
                <c:pt idx="18">
                  <c:v>63</c:v>
                </c:pt>
                <c:pt idx="19">
                  <c:v>64</c:v>
                </c:pt>
                <c:pt idx="20">
                  <c:v>64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67</c:v>
                </c:pt>
                <c:pt idx="25">
                  <c:v>67</c:v>
                </c:pt>
                <c:pt idx="26">
                  <c:v>70</c:v>
                </c:pt>
                <c:pt idx="27">
                  <c:v>71</c:v>
                </c:pt>
                <c:pt idx="28">
                  <c:v>71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73</c:v>
                </c:pt>
                <c:pt idx="33">
                  <c:v>74</c:v>
                </c:pt>
                <c:pt idx="34">
                  <c:v>75</c:v>
                </c:pt>
                <c:pt idx="35">
                  <c:v>76</c:v>
                </c:pt>
                <c:pt idx="36">
                  <c:v>77</c:v>
                </c:pt>
                <c:pt idx="37">
                  <c:v>77</c:v>
                </c:pt>
                <c:pt idx="38">
                  <c:v>78</c:v>
                </c:pt>
                <c:pt idx="39">
                  <c:v>78</c:v>
                </c:pt>
                <c:pt idx="40">
                  <c:v>78</c:v>
                </c:pt>
                <c:pt idx="41">
                  <c:v>78</c:v>
                </c:pt>
                <c:pt idx="42">
                  <c:v>78</c:v>
                </c:pt>
                <c:pt idx="43">
                  <c:v>78</c:v>
                </c:pt>
                <c:pt idx="44">
                  <c:v>79</c:v>
                </c:pt>
                <c:pt idx="45">
                  <c:v>81</c:v>
                </c:pt>
                <c:pt idx="46">
                  <c:v>85</c:v>
                </c:pt>
                <c:pt idx="47">
                  <c:v>86</c:v>
                </c:pt>
                <c:pt idx="48">
                  <c:v>87</c:v>
                </c:pt>
                <c:pt idx="49">
                  <c:v>87</c:v>
                </c:pt>
                <c:pt idx="50">
                  <c:v>87</c:v>
                </c:pt>
                <c:pt idx="51">
                  <c:v>88</c:v>
                </c:pt>
                <c:pt idx="52">
                  <c:v>88</c:v>
                </c:pt>
                <c:pt idx="53">
                  <c:v>93</c:v>
                </c:pt>
                <c:pt idx="54">
                  <c:v>97</c:v>
                </c:pt>
                <c:pt idx="55">
                  <c:v>98</c:v>
                </c:pt>
                <c:pt idx="56">
                  <c:v>99</c:v>
                </c:pt>
                <c:pt idx="57">
                  <c:v>101</c:v>
                </c:pt>
                <c:pt idx="58">
                  <c:v>103</c:v>
                </c:pt>
                <c:pt idx="59">
                  <c:v>103</c:v>
                </c:pt>
                <c:pt idx="60">
                  <c:v>113</c:v>
                </c:pt>
                <c:pt idx="61">
                  <c:v>120</c:v>
                </c:pt>
                <c:pt idx="62">
                  <c:v>126</c:v>
                </c:pt>
                <c:pt idx="63">
                  <c:v>137</c:v>
                </c:pt>
              </c:numCache>
            </c:numRef>
          </c:xVal>
          <c:yVal>
            <c:numRef>
              <c:f>Segments!E81:E144</c:f>
              <c:numCache>
                <c:formatCode>General</c:formatCode>
                <c:ptCount val="64"/>
                <c:pt idx="0">
                  <c:v>46</c:v>
                </c:pt>
                <c:pt idx="1">
                  <c:v>41</c:v>
                </c:pt>
                <c:pt idx="2">
                  <c:v>49</c:v>
                </c:pt>
                <c:pt idx="3">
                  <c:v>40</c:v>
                </c:pt>
                <c:pt idx="4">
                  <c:v>42</c:v>
                </c:pt>
                <c:pt idx="5">
                  <c:v>52</c:v>
                </c:pt>
                <c:pt idx="6">
                  <c:v>47</c:v>
                </c:pt>
                <c:pt idx="7">
                  <c:v>50</c:v>
                </c:pt>
                <c:pt idx="8">
                  <c:v>42</c:v>
                </c:pt>
                <c:pt idx="9">
                  <c:v>49</c:v>
                </c:pt>
                <c:pt idx="10">
                  <c:v>41</c:v>
                </c:pt>
                <c:pt idx="11">
                  <c:v>48</c:v>
                </c:pt>
                <c:pt idx="12">
                  <c:v>42</c:v>
                </c:pt>
                <c:pt idx="13">
                  <c:v>50</c:v>
                </c:pt>
                <c:pt idx="14">
                  <c:v>46</c:v>
                </c:pt>
                <c:pt idx="15">
                  <c:v>43</c:v>
                </c:pt>
                <c:pt idx="16">
                  <c:v>48</c:v>
                </c:pt>
                <c:pt idx="17">
                  <c:v>52</c:v>
                </c:pt>
                <c:pt idx="18">
                  <c:v>54</c:v>
                </c:pt>
                <c:pt idx="19">
                  <c:v>42</c:v>
                </c:pt>
                <c:pt idx="20">
                  <c:v>46</c:v>
                </c:pt>
                <c:pt idx="21">
                  <c:v>48</c:v>
                </c:pt>
                <c:pt idx="22">
                  <c:v>50</c:v>
                </c:pt>
                <c:pt idx="23">
                  <c:v>43</c:v>
                </c:pt>
                <c:pt idx="24">
                  <c:v>43</c:v>
                </c:pt>
                <c:pt idx="25">
                  <c:v>40</c:v>
                </c:pt>
                <c:pt idx="26">
                  <c:v>29</c:v>
                </c:pt>
                <c:pt idx="27">
                  <c:v>35</c:v>
                </c:pt>
                <c:pt idx="28">
                  <c:v>11</c:v>
                </c:pt>
                <c:pt idx="29">
                  <c:v>9</c:v>
                </c:pt>
                <c:pt idx="30">
                  <c:v>34</c:v>
                </c:pt>
                <c:pt idx="31">
                  <c:v>5</c:v>
                </c:pt>
                <c:pt idx="32">
                  <c:v>7</c:v>
                </c:pt>
                <c:pt idx="33">
                  <c:v>10</c:v>
                </c:pt>
                <c:pt idx="34">
                  <c:v>5</c:v>
                </c:pt>
                <c:pt idx="35">
                  <c:v>40</c:v>
                </c:pt>
                <c:pt idx="36">
                  <c:v>12</c:v>
                </c:pt>
                <c:pt idx="37">
                  <c:v>36</c:v>
                </c:pt>
                <c:pt idx="38">
                  <c:v>22</c:v>
                </c:pt>
                <c:pt idx="39">
                  <c:v>17</c:v>
                </c:pt>
                <c:pt idx="40">
                  <c:v>20</c:v>
                </c:pt>
                <c:pt idx="41">
                  <c:v>16</c:v>
                </c:pt>
                <c:pt idx="42">
                  <c:v>1</c:v>
                </c:pt>
                <c:pt idx="43">
                  <c:v>1</c:v>
                </c:pt>
                <c:pt idx="44">
                  <c:v>35</c:v>
                </c:pt>
                <c:pt idx="45">
                  <c:v>5</c:v>
                </c:pt>
                <c:pt idx="46">
                  <c:v>26</c:v>
                </c:pt>
                <c:pt idx="47">
                  <c:v>20</c:v>
                </c:pt>
                <c:pt idx="48">
                  <c:v>27</c:v>
                </c:pt>
                <c:pt idx="49">
                  <c:v>13</c:v>
                </c:pt>
                <c:pt idx="50">
                  <c:v>10</c:v>
                </c:pt>
                <c:pt idx="51">
                  <c:v>13</c:v>
                </c:pt>
                <c:pt idx="52">
                  <c:v>15</c:v>
                </c:pt>
                <c:pt idx="53">
                  <c:v>14</c:v>
                </c:pt>
                <c:pt idx="54">
                  <c:v>32</c:v>
                </c:pt>
                <c:pt idx="55">
                  <c:v>15</c:v>
                </c:pt>
                <c:pt idx="56">
                  <c:v>39</c:v>
                </c:pt>
                <c:pt idx="57">
                  <c:v>24</c:v>
                </c:pt>
                <c:pt idx="58">
                  <c:v>17</c:v>
                </c:pt>
                <c:pt idx="59">
                  <c:v>23</c:v>
                </c:pt>
                <c:pt idx="60">
                  <c:v>8</c:v>
                </c:pt>
                <c:pt idx="61">
                  <c:v>16</c:v>
                </c:pt>
                <c:pt idx="62">
                  <c:v>28</c:v>
                </c:pt>
                <c:pt idx="63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F2-419F-8589-87C2DCF9189F}"/>
            </c:ext>
          </c:extLst>
        </c:ser>
        <c:ser>
          <c:idx val="3"/>
          <c:order val="3"/>
          <c:tx>
            <c:strRef>
              <c:f>{"High Earner Low Spend"}</c:f>
              <c:strCache>
                <c:ptCount val="1"/>
                <c:pt idx="0">
                  <c:v>High Earner Low Spend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Segments!D145:D179</c:f>
              <c:numCache>
                <c:formatCode>General</c:formatCode>
                <c:ptCount val="35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19</c:v>
                </c:pt>
                <c:pt idx="6">
                  <c:v>20</c:v>
                </c:pt>
                <c:pt idx="7">
                  <c:v>20</c:v>
                </c:pt>
                <c:pt idx="8">
                  <c:v>21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28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33</c:v>
                </c:pt>
                <c:pt idx="17">
                  <c:v>33</c:v>
                </c:pt>
                <c:pt idx="18">
                  <c:v>34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39</c:v>
                </c:pt>
                <c:pt idx="23">
                  <c:v>40</c:v>
                </c:pt>
                <c:pt idx="24">
                  <c:v>42</c:v>
                </c:pt>
                <c:pt idx="25">
                  <c:v>43</c:v>
                </c:pt>
                <c:pt idx="26">
                  <c:v>46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54</c:v>
                </c:pt>
                <c:pt idx="34">
                  <c:v>54</c:v>
                </c:pt>
              </c:numCache>
            </c:numRef>
          </c:xVal>
          <c:yVal>
            <c:numRef>
              <c:f>Segments!E145:E179</c:f>
              <c:numCache>
                <c:formatCode>General</c:formatCode>
                <c:ptCount val="35"/>
                <c:pt idx="0">
                  <c:v>81</c:v>
                </c:pt>
                <c:pt idx="1">
                  <c:v>77</c:v>
                </c:pt>
                <c:pt idx="2">
                  <c:v>76</c:v>
                </c:pt>
                <c:pt idx="3">
                  <c:v>94</c:v>
                </c:pt>
                <c:pt idx="4">
                  <c:v>72</c:v>
                </c:pt>
                <c:pt idx="5">
                  <c:v>99</c:v>
                </c:pt>
                <c:pt idx="6">
                  <c:v>77</c:v>
                </c:pt>
                <c:pt idx="7">
                  <c:v>79</c:v>
                </c:pt>
                <c:pt idx="8">
                  <c:v>66</c:v>
                </c:pt>
                <c:pt idx="9">
                  <c:v>98</c:v>
                </c:pt>
                <c:pt idx="10">
                  <c:v>73</c:v>
                </c:pt>
                <c:pt idx="11">
                  <c:v>73</c:v>
                </c:pt>
                <c:pt idx="12">
                  <c:v>82</c:v>
                </c:pt>
                <c:pt idx="13">
                  <c:v>61</c:v>
                </c:pt>
                <c:pt idx="14">
                  <c:v>87</c:v>
                </c:pt>
                <c:pt idx="15">
                  <c:v>73</c:v>
                </c:pt>
                <c:pt idx="16">
                  <c:v>92</c:v>
                </c:pt>
                <c:pt idx="17">
                  <c:v>81</c:v>
                </c:pt>
                <c:pt idx="18">
                  <c:v>73</c:v>
                </c:pt>
                <c:pt idx="19">
                  <c:v>75</c:v>
                </c:pt>
                <c:pt idx="20">
                  <c:v>92</c:v>
                </c:pt>
                <c:pt idx="21">
                  <c:v>61</c:v>
                </c:pt>
                <c:pt idx="22">
                  <c:v>65</c:v>
                </c:pt>
                <c:pt idx="23">
                  <c:v>55</c:v>
                </c:pt>
                <c:pt idx="24">
                  <c:v>60</c:v>
                </c:pt>
                <c:pt idx="25">
                  <c:v>60</c:v>
                </c:pt>
                <c:pt idx="26">
                  <c:v>56</c:v>
                </c:pt>
                <c:pt idx="27">
                  <c:v>55</c:v>
                </c:pt>
                <c:pt idx="28">
                  <c:v>59</c:v>
                </c:pt>
                <c:pt idx="29">
                  <c:v>59</c:v>
                </c:pt>
                <c:pt idx="30">
                  <c:v>59</c:v>
                </c:pt>
                <c:pt idx="31">
                  <c:v>55</c:v>
                </c:pt>
                <c:pt idx="32">
                  <c:v>56</c:v>
                </c:pt>
                <c:pt idx="33">
                  <c:v>55</c:v>
                </c:pt>
                <c:pt idx="34">
                  <c:v>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F2-419F-8589-87C2DCF9189F}"/>
            </c:ext>
          </c:extLst>
        </c:ser>
        <c:ser>
          <c:idx val="4"/>
          <c:order val="4"/>
          <c:tx>
            <c:strRef>
              <c:f>{"Budget Conscious"}</c:f>
              <c:strCache>
                <c:ptCount val="1"/>
                <c:pt idx="0">
                  <c:v>Budget Conscious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Segments!D180:D201</c:f>
              <c:numCache>
                <c:formatCode>General</c:formatCode>
                <c:ptCount val="22"/>
                <c:pt idx="0">
                  <c:v>15</c:v>
                </c:pt>
                <c:pt idx="1">
                  <c:v>16</c:v>
                </c:pt>
                <c:pt idx="2">
                  <c:v>18</c:v>
                </c:pt>
                <c:pt idx="3">
                  <c:v>19</c:v>
                </c:pt>
                <c:pt idx="4">
                  <c:v>19</c:v>
                </c:pt>
                <c:pt idx="5">
                  <c:v>20</c:v>
                </c:pt>
                <c:pt idx="6">
                  <c:v>20</c:v>
                </c:pt>
                <c:pt idx="7">
                  <c:v>21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28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33</c:v>
                </c:pt>
                <c:pt idx="16">
                  <c:v>33</c:v>
                </c:pt>
                <c:pt idx="17">
                  <c:v>34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39</c:v>
                </c:pt>
              </c:numCache>
            </c:numRef>
          </c:xVal>
          <c:yVal>
            <c:numRef>
              <c:f>Segments!E180:E201</c:f>
              <c:numCache>
                <c:formatCode>General</c:formatCode>
                <c:ptCount val="22"/>
                <c:pt idx="0">
                  <c:v>39</c:v>
                </c:pt>
                <c:pt idx="1">
                  <c:v>6</c:v>
                </c:pt>
                <c:pt idx="2">
                  <c:v>6</c:v>
                </c:pt>
                <c:pt idx="3">
                  <c:v>3</c:v>
                </c:pt>
                <c:pt idx="4">
                  <c:v>14</c:v>
                </c:pt>
                <c:pt idx="5">
                  <c:v>15</c:v>
                </c:pt>
                <c:pt idx="6">
                  <c:v>13</c:v>
                </c:pt>
                <c:pt idx="7">
                  <c:v>35</c:v>
                </c:pt>
                <c:pt idx="8">
                  <c:v>29</c:v>
                </c:pt>
                <c:pt idx="9">
                  <c:v>35</c:v>
                </c:pt>
                <c:pt idx="10">
                  <c:v>5</c:v>
                </c:pt>
                <c:pt idx="11">
                  <c:v>14</c:v>
                </c:pt>
                <c:pt idx="12">
                  <c:v>32</c:v>
                </c:pt>
                <c:pt idx="13">
                  <c:v>31</c:v>
                </c:pt>
                <c:pt idx="14">
                  <c:v>4</c:v>
                </c:pt>
                <c:pt idx="15">
                  <c:v>4</c:v>
                </c:pt>
                <c:pt idx="16">
                  <c:v>14</c:v>
                </c:pt>
                <c:pt idx="17">
                  <c:v>17</c:v>
                </c:pt>
                <c:pt idx="18">
                  <c:v>26</c:v>
                </c:pt>
                <c:pt idx="19">
                  <c:v>35</c:v>
                </c:pt>
                <c:pt idx="20">
                  <c:v>36</c:v>
                </c:pt>
                <c:pt idx="21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F2-419F-8589-87C2DCF91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593928"/>
        <c:axId val="246021640"/>
      </c:scatterChart>
      <c:valAx>
        <c:axId val="216593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Income (k$)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021640"/>
        <c:crosses val="autoZero"/>
        <c:crossBetween val="midCat"/>
      </c:valAx>
      <c:valAx>
        <c:axId val="24602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Spending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593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EA0DEA-F576-4F7E-865E-44375BF0A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123825</xdr:colOff>
      <xdr:row>4</xdr:row>
      <xdr:rowOff>161925</xdr:rowOff>
    </xdr:from>
    <xdr:to>
      <xdr:col>14</xdr:col>
      <xdr:colOff>209550</xdr:colOff>
      <xdr:row>5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2AD743-C068-2E10-81A0-7066BF8CA88B}"/>
            </a:ext>
            <a:ext uri="{147F2762-F138-4A5C-976F-8EAC2B608ADB}">
              <a16:predDERef xmlns:a16="http://schemas.microsoft.com/office/drawing/2014/main" pred="{54EA0DEA-F576-4F7E-865E-44375BF0A445}"/>
            </a:ext>
          </a:extLst>
        </xdr:cNvPr>
        <xdr:cNvSpPr txBox="1"/>
      </xdr:nvSpPr>
      <xdr:spPr>
        <a:xfrm>
          <a:off x="7439025" y="923925"/>
          <a:ext cx="1304925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Premium Loyalists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0</xdr:colOff>
      <xdr:row>18</xdr:row>
      <xdr:rowOff>9525</xdr:rowOff>
    </xdr:from>
    <xdr:to>
      <xdr:col>3</xdr:col>
      <xdr:colOff>47625</xdr:colOff>
      <xdr:row>19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1A4604-12AF-429D-B3DF-807FEBC893F8}"/>
            </a:ext>
            <a:ext uri="{147F2762-F138-4A5C-976F-8EAC2B608ADB}">
              <a16:predDERef xmlns:a16="http://schemas.microsoft.com/office/drawing/2014/main" pred="{5D2AD743-C068-2E10-81A0-7066BF8CA88B}"/>
            </a:ext>
          </a:extLst>
        </xdr:cNvPr>
        <xdr:cNvSpPr txBox="1"/>
      </xdr:nvSpPr>
      <xdr:spPr>
        <a:xfrm>
          <a:off x="609600" y="4238625"/>
          <a:ext cx="12668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Budget Conscious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28575</xdr:colOff>
      <xdr:row>4</xdr:row>
      <xdr:rowOff>142875</xdr:rowOff>
    </xdr:from>
    <xdr:to>
      <xdr:col>4</xdr:col>
      <xdr:colOff>85725</xdr:colOff>
      <xdr:row>4</xdr:row>
      <xdr:rowOff>314325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10DC33B-49AF-4256-84A6-30B2DB3654E1}"/>
            </a:ext>
            <a:ext uri="{147F2762-F138-4A5C-976F-8EAC2B608ADB}">
              <a16:predDERef xmlns:a16="http://schemas.microsoft.com/office/drawing/2014/main" pred="{171A4604-12AF-429D-B3DF-807FEBC893F8}"/>
            </a:ext>
          </a:extLst>
        </xdr:cNvPr>
        <xdr:cNvSpPr txBox="1"/>
      </xdr:nvSpPr>
      <xdr:spPr>
        <a:xfrm>
          <a:off x="1247775" y="904875"/>
          <a:ext cx="1276350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Impulsive Buyers</a:t>
          </a:r>
        </a:p>
      </xdr:txBody>
    </xdr:sp>
    <xdr:clientData/>
  </xdr:twoCellAnchor>
  <xdr:twoCellAnchor>
    <xdr:from>
      <xdr:col>11</xdr:col>
      <xdr:colOff>552450</xdr:colOff>
      <xdr:row>18</xdr:row>
      <xdr:rowOff>95250</xdr:rowOff>
    </xdr:from>
    <xdr:to>
      <xdr:col>14</xdr:col>
      <xdr:colOff>352425</xdr:colOff>
      <xdr:row>19</xdr:row>
      <xdr:rowOff>180975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22EC0C7-B575-4B7E-9F30-49E2DCEF6BDF}"/>
            </a:ext>
            <a:ext uri="{147F2762-F138-4A5C-976F-8EAC2B608ADB}">
              <a16:predDERef xmlns:a16="http://schemas.microsoft.com/office/drawing/2014/main" pred="{F10DC33B-49AF-4256-84A6-30B2DB3654E1}"/>
            </a:ext>
          </a:extLst>
        </xdr:cNvPr>
        <xdr:cNvSpPr txBox="1"/>
      </xdr:nvSpPr>
      <xdr:spPr>
        <a:xfrm>
          <a:off x="7258050" y="4324350"/>
          <a:ext cx="162877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High Earners, Low Spend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0.958060648147" createdVersion="8" refreshedVersion="8" minRefreshableVersion="3" recordCount="200" xr:uid="{54E9453A-2BCC-422D-8A03-64EFB276F8B7}">
  <cacheSource type="worksheet">
    <worksheetSource name="Table1"/>
  </cacheSource>
  <cacheFields count="6">
    <cacheField name="CustomerID" numFmtId="0">
      <sharedItems containsSemiMixedTypes="0" containsString="0" containsNumber="1" containsInteger="1" minValue="1" maxValue="200"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70"/>
    </cacheField>
    <cacheField name="Annual Income (k$)" numFmtId="0">
      <sharedItems containsSemiMixedTypes="0" containsString="0" containsNumber="1" containsInteger="1" minValue="15" maxValue="137"/>
    </cacheField>
    <cacheField name="Spending Score (1-100)" numFmtId="0">
      <sharedItems containsSemiMixedTypes="0" containsString="0" containsNumber="1" containsInteger="1" minValue="1" maxValue="99"/>
    </cacheField>
    <cacheField name="Age Group " numFmtId="0">
      <sharedItems count="5">
        <s v="18-25"/>
        <s v="26-35"/>
        <s v="36-45"/>
        <s v="46-55"/>
        <s v="55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1.526975925924" createdVersion="8" refreshedVersion="8" minRefreshableVersion="3" recordCount="200" xr:uid="{0260C7FC-64E9-414D-B3D6-A47D7C3A4FED}">
  <cacheSource type="worksheet">
    <worksheetSource name="Table3"/>
  </cacheSource>
  <cacheFields count="7">
    <cacheField name="CustomerID" numFmtId="0">
      <sharedItems containsSemiMixedTypes="0" containsString="0" containsNumber="1" containsInteger="1" minValue="1" maxValue="200"/>
    </cacheField>
    <cacheField name="Gender" numFmtId="0">
      <sharedItems/>
    </cacheField>
    <cacheField name="Age" numFmtId="0">
      <sharedItems containsSemiMixedTypes="0" containsString="0" containsNumber="1" containsInteger="1" minValue="18" maxValue="70"/>
    </cacheField>
    <cacheField name="Annual Income (k$)" numFmtId="0">
      <sharedItems containsSemiMixedTypes="0" containsString="0" containsNumber="1" containsInteger="1" minValue="15" maxValue="137"/>
    </cacheField>
    <cacheField name="Spending Score (1-100)" numFmtId="0">
      <sharedItems containsSemiMixedTypes="0" containsString="0" containsNumber="1" containsInteger="1" minValue="1" maxValue="99"/>
    </cacheField>
    <cacheField name="Age Group " numFmtId="0">
      <sharedItems/>
    </cacheField>
    <cacheField name="Segment " numFmtId="0">
      <sharedItems count="5">
        <s v="Premium Loyalists"/>
        <s v="Mid-Market"/>
        <s v="Impulsive Buyers"/>
        <s v="High Earners Low Spend"/>
        <s v="Budget Conscio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n v="19"/>
    <n v="15"/>
    <n v="39"/>
    <x v="0"/>
  </r>
  <r>
    <n v="2"/>
    <x v="0"/>
    <n v="21"/>
    <n v="15"/>
    <n v="81"/>
    <x v="0"/>
  </r>
  <r>
    <n v="3"/>
    <x v="1"/>
    <n v="20"/>
    <n v="16"/>
    <n v="6"/>
    <x v="0"/>
  </r>
  <r>
    <n v="4"/>
    <x v="1"/>
    <n v="23"/>
    <n v="16"/>
    <n v="77"/>
    <x v="0"/>
  </r>
  <r>
    <n v="5"/>
    <x v="1"/>
    <n v="31"/>
    <n v="17"/>
    <n v="40"/>
    <x v="0"/>
  </r>
  <r>
    <n v="6"/>
    <x v="1"/>
    <n v="22"/>
    <n v="17"/>
    <n v="76"/>
    <x v="0"/>
  </r>
  <r>
    <n v="7"/>
    <x v="1"/>
    <n v="35"/>
    <n v="18"/>
    <n v="6"/>
    <x v="0"/>
  </r>
  <r>
    <n v="8"/>
    <x v="1"/>
    <n v="23"/>
    <n v="18"/>
    <n v="94"/>
    <x v="0"/>
  </r>
  <r>
    <n v="9"/>
    <x v="0"/>
    <n v="64"/>
    <n v="19"/>
    <n v="3"/>
    <x v="0"/>
  </r>
  <r>
    <n v="10"/>
    <x v="1"/>
    <n v="30"/>
    <n v="19"/>
    <n v="72"/>
    <x v="0"/>
  </r>
  <r>
    <n v="11"/>
    <x v="0"/>
    <n v="67"/>
    <n v="19"/>
    <n v="14"/>
    <x v="0"/>
  </r>
  <r>
    <n v="12"/>
    <x v="1"/>
    <n v="35"/>
    <n v="19"/>
    <n v="99"/>
    <x v="0"/>
  </r>
  <r>
    <n v="13"/>
    <x v="1"/>
    <n v="58"/>
    <n v="20"/>
    <n v="15"/>
    <x v="0"/>
  </r>
  <r>
    <n v="14"/>
    <x v="1"/>
    <n v="24"/>
    <n v="20"/>
    <n v="77"/>
    <x v="0"/>
  </r>
  <r>
    <n v="15"/>
    <x v="0"/>
    <n v="37"/>
    <n v="20"/>
    <n v="13"/>
    <x v="0"/>
  </r>
  <r>
    <n v="16"/>
    <x v="0"/>
    <n v="22"/>
    <n v="20"/>
    <n v="79"/>
    <x v="0"/>
  </r>
  <r>
    <n v="17"/>
    <x v="1"/>
    <n v="35"/>
    <n v="21"/>
    <n v="35"/>
    <x v="0"/>
  </r>
  <r>
    <n v="18"/>
    <x v="0"/>
    <n v="20"/>
    <n v="21"/>
    <n v="66"/>
    <x v="0"/>
  </r>
  <r>
    <n v="19"/>
    <x v="0"/>
    <n v="52"/>
    <n v="23"/>
    <n v="29"/>
    <x v="0"/>
  </r>
  <r>
    <n v="20"/>
    <x v="1"/>
    <n v="35"/>
    <n v="23"/>
    <n v="98"/>
    <x v="0"/>
  </r>
  <r>
    <n v="21"/>
    <x v="0"/>
    <n v="35"/>
    <n v="24"/>
    <n v="35"/>
    <x v="0"/>
  </r>
  <r>
    <n v="22"/>
    <x v="0"/>
    <n v="25"/>
    <n v="24"/>
    <n v="73"/>
    <x v="0"/>
  </r>
  <r>
    <n v="23"/>
    <x v="1"/>
    <n v="46"/>
    <n v="25"/>
    <n v="5"/>
    <x v="0"/>
  </r>
  <r>
    <n v="24"/>
    <x v="0"/>
    <n v="31"/>
    <n v="25"/>
    <n v="73"/>
    <x v="0"/>
  </r>
  <r>
    <n v="25"/>
    <x v="1"/>
    <n v="54"/>
    <n v="28"/>
    <n v="14"/>
    <x v="1"/>
  </r>
  <r>
    <n v="26"/>
    <x v="0"/>
    <n v="29"/>
    <n v="28"/>
    <n v="82"/>
    <x v="1"/>
  </r>
  <r>
    <n v="27"/>
    <x v="1"/>
    <n v="45"/>
    <n v="28"/>
    <n v="32"/>
    <x v="1"/>
  </r>
  <r>
    <n v="28"/>
    <x v="0"/>
    <n v="35"/>
    <n v="28"/>
    <n v="61"/>
    <x v="1"/>
  </r>
  <r>
    <n v="29"/>
    <x v="1"/>
    <n v="40"/>
    <n v="29"/>
    <n v="31"/>
    <x v="1"/>
  </r>
  <r>
    <n v="30"/>
    <x v="1"/>
    <n v="23"/>
    <n v="29"/>
    <n v="87"/>
    <x v="1"/>
  </r>
  <r>
    <n v="31"/>
    <x v="0"/>
    <n v="60"/>
    <n v="30"/>
    <n v="4"/>
    <x v="1"/>
  </r>
  <r>
    <n v="32"/>
    <x v="1"/>
    <n v="21"/>
    <n v="30"/>
    <n v="73"/>
    <x v="1"/>
  </r>
  <r>
    <n v="33"/>
    <x v="0"/>
    <n v="53"/>
    <n v="33"/>
    <n v="4"/>
    <x v="1"/>
  </r>
  <r>
    <n v="34"/>
    <x v="0"/>
    <n v="18"/>
    <n v="33"/>
    <n v="92"/>
    <x v="1"/>
  </r>
  <r>
    <n v="35"/>
    <x v="1"/>
    <n v="49"/>
    <n v="33"/>
    <n v="14"/>
    <x v="1"/>
  </r>
  <r>
    <n v="36"/>
    <x v="1"/>
    <n v="21"/>
    <n v="33"/>
    <n v="81"/>
    <x v="1"/>
  </r>
  <r>
    <n v="37"/>
    <x v="1"/>
    <n v="42"/>
    <n v="34"/>
    <n v="17"/>
    <x v="1"/>
  </r>
  <r>
    <n v="38"/>
    <x v="1"/>
    <n v="30"/>
    <n v="34"/>
    <n v="73"/>
    <x v="1"/>
  </r>
  <r>
    <n v="39"/>
    <x v="1"/>
    <n v="36"/>
    <n v="37"/>
    <n v="26"/>
    <x v="2"/>
  </r>
  <r>
    <n v="40"/>
    <x v="1"/>
    <n v="20"/>
    <n v="37"/>
    <n v="75"/>
    <x v="2"/>
  </r>
  <r>
    <n v="41"/>
    <x v="1"/>
    <n v="65"/>
    <n v="38"/>
    <n v="35"/>
    <x v="2"/>
  </r>
  <r>
    <n v="42"/>
    <x v="0"/>
    <n v="24"/>
    <n v="38"/>
    <n v="92"/>
    <x v="2"/>
  </r>
  <r>
    <n v="43"/>
    <x v="0"/>
    <n v="48"/>
    <n v="39"/>
    <n v="36"/>
    <x v="2"/>
  </r>
  <r>
    <n v="44"/>
    <x v="1"/>
    <n v="31"/>
    <n v="39"/>
    <n v="61"/>
    <x v="2"/>
  </r>
  <r>
    <n v="45"/>
    <x v="1"/>
    <n v="49"/>
    <n v="39"/>
    <n v="28"/>
    <x v="2"/>
  </r>
  <r>
    <n v="46"/>
    <x v="1"/>
    <n v="24"/>
    <n v="39"/>
    <n v="65"/>
    <x v="2"/>
  </r>
  <r>
    <n v="47"/>
    <x v="1"/>
    <n v="50"/>
    <n v="40"/>
    <n v="55"/>
    <x v="2"/>
  </r>
  <r>
    <n v="48"/>
    <x v="1"/>
    <n v="27"/>
    <n v="40"/>
    <n v="47"/>
    <x v="2"/>
  </r>
  <r>
    <n v="49"/>
    <x v="1"/>
    <n v="29"/>
    <n v="40"/>
    <n v="42"/>
    <x v="2"/>
  </r>
  <r>
    <n v="50"/>
    <x v="1"/>
    <n v="31"/>
    <n v="40"/>
    <n v="42"/>
    <x v="2"/>
  </r>
  <r>
    <n v="51"/>
    <x v="1"/>
    <n v="49"/>
    <n v="42"/>
    <n v="52"/>
    <x v="2"/>
  </r>
  <r>
    <n v="52"/>
    <x v="0"/>
    <n v="33"/>
    <n v="42"/>
    <n v="60"/>
    <x v="2"/>
  </r>
  <r>
    <n v="53"/>
    <x v="1"/>
    <n v="31"/>
    <n v="43"/>
    <n v="54"/>
    <x v="2"/>
  </r>
  <r>
    <n v="54"/>
    <x v="0"/>
    <n v="59"/>
    <n v="43"/>
    <n v="60"/>
    <x v="2"/>
  </r>
  <r>
    <n v="55"/>
    <x v="1"/>
    <n v="50"/>
    <n v="43"/>
    <n v="45"/>
    <x v="2"/>
  </r>
  <r>
    <n v="56"/>
    <x v="0"/>
    <n v="47"/>
    <n v="43"/>
    <n v="41"/>
    <x v="2"/>
  </r>
  <r>
    <n v="57"/>
    <x v="1"/>
    <n v="51"/>
    <n v="44"/>
    <n v="50"/>
    <x v="2"/>
  </r>
  <r>
    <n v="58"/>
    <x v="0"/>
    <n v="69"/>
    <n v="44"/>
    <n v="46"/>
    <x v="2"/>
  </r>
  <r>
    <n v="59"/>
    <x v="1"/>
    <n v="27"/>
    <n v="46"/>
    <n v="51"/>
    <x v="3"/>
  </r>
  <r>
    <n v="60"/>
    <x v="0"/>
    <n v="53"/>
    <n v="46"/>
    <n v="46"/>
    <x v="3"/>
  </r>
  <r>
    <n v="61"/>
    <x v="0"/>
    <n v="70"/>
    <n v="46"/>
    <n v="56"/>
    <x v="3"/>
  </r>
  <r>
    <n v="62"/>
    <x v="0"/>
    <n v="19"/>
    <n v="46"/>
    <n v="55"/>
    <x v="3"/>
  </r>
  <r>
    <n v="63"/>
    <x v="1"/>
    <n v="67"/>
    <n v="47"/>
    <n v="52"/>
    <x v="3"/>
  </r>
  <r>
    <n v="64"/>
    <x v="1"/>
    <n v="54"/>
    <n v="47"/>
    <n v="59"/>
    <x v="3"/>
  </r>
  <r>
    <n v="65"/>
    <x v="0"/>
    <n v="63"/>
    <n v="48"/>
    <n v="51"/>
    <x v="3"/>
  </r>
  <r>
    <n v="66"/>
    <x v="0"/>
    <n v="18"/>
    <n v="48"/>
    <n v="59"/>
    <x v="3"/>
  </r>
  <r>
    <n v="67"/>
    <x v="1"/>
    <n v="43"/>
    <n v="48"/>
    <n v="50"/>
    <x v="3"/>
  </r>
  <r>
    <n v="68"/>
    <x v="1"/>
    <n v="68"/>
    <n v="48"/>
    <n v="48"/>
    <x v="3"/>
  </r>
  <r>
    <n v="69"/>
    <x v="0"/>
    <n v="19"/>
    <n v="48"/>
    <n v="59"/>
    <x v="3"/>
  </r>
  <r>
    <n v="70"/>
    <x v="1"/>
    <n v="32"/>
    <n v="48"/>
    <n v="47"/>
    <x v="3"/>
  </r>
  <r>
    <n v="71"/>
    <x v="0"/>
    <n v="70"/>
    <n v="49"/>
    <n v="55"/>
    <x v="3"/>
  </r>
  <r>
    <n v="72"/>
    <x v="1"/>
    <n v="47"/>
    <n v="49"/>
    <n v="42"/>
    <x v="3"/>
  </r>
  <r>
    <n v="73"/>
    <x v="1"/>
    <n v="60"/>
    <n v="50"/>
    <n v="49"/>
    <x v="3"/>
  </r>
  <r>
    <n v="74"/>
    <x v="1"/>
    <n v="60"/>
    <n v="50"/>
    <n v="56"/>
    <x v="3"/>
  </r>
  <r>
    <n v="75"/>
    <x v="0"/>
    <n v="59"/>
    <n v="54"/>
    <n v="47"/>
    <x v="3"/>
  </r>
  <r>
    <n v="76"/>
    <x v="0"/>
    <n v="26"/>
    <n v="54"/>
    <n v="54"/>
    <x v="3"/>
  </r>
  <r>
    <n v="77"/>
    <x v="1"/>
    <n v="45"/>
    <n v="54"/>
    <n v="53"/>
    <x v="3"/>
  </r>
  <r>
    <n v="78"/>
    <x v="0"/>
    <n v="40"/>
    <n v="54"/>
    <n v="48"/>
    <x v="3"/>
  </r>
  <r>
    <n v="79"/>
    <x v="1"/>
    <n v="23"/>
    <n v="54"/>
    <n v="52"/>
    <x v="3"/>
  </r>
  <r>
    <n v="80"/>
    <x v="1"/>
    <n v="49"/>
    <n v="54"/>
    <n v="42"/>
    <x v="3"/>
  </r>
  <r>
    <n v="81"/>
    <x v="0"/>
    <n v="57"/>
    <n v="54"/>
    <n v="51"/>
    <x v="3"/>
  </r>
  <r>
    <n v="82"/>
    <x v="0"/>
    <n v="38"/>
    <n v="54"/>
    <n v="55"/>
    <x v="3"/>
  </r>
  <r>
    <n v="83"/>
    <x v="0"/>
    <n v="67"/>
    <n v="54"/>
    <n v="41"/>
    <x v="3"/>
  </r>
  <r>
    <n v="84"/>
    <x v="1"/>
    <n v="46"/>
    <n v="54"/>
    <n v="44"/>
    <x v="3"/>
  </r>
  <r>
    <n v="85"/>
    <x v="1"/>
    <n v="21"/>
    <n v="54"/>
    <n v="57"/>
    <x v="3"/>
  </r>
  <r>
    <n v="86"/>
    <x v="0"/>
    <n v="48"/>
    <n v="54"/>
    <n v="46"/>
    <x v="3"/>
  </r>
  <r>
    <n v="87"/>
    <x v="1"/>
    <n v="55"/>
    <n v="57"/>
    <n v="58"/>
    <x v="4"/>
  </r>
  <r>
    <n v="88"/>
    <x v="1"/>
    <n v="22"/>
    <n v="57"/>
    <n v="55"/>
    <x v="4"/>
  </r>
  <r>
    <n v="89"/>
    <x v="1"/>
    <n v="34"/>
    <n v="58"/>
    <n v="60"/>
    <x v="4"/>
  </r>
  <r>
    <n v="90"/>
    <x v="1"/>
    <n v="50"/>
    <n v="58"/>
    <n v="46"/>
    <x v="4"/>
  </r>
  <r>
    <n v="91"/>
    <x v="1"/>
    <n v="68"/>
    <n v="59"/>
    <n v="55"/>
    <x v="4"/>
  </r>
  <r>
    <n v="92"/>
    <x v="0"/>
    <n v="18"/>
    <n v="59"/>
    <n v="41"/>
    <x v="4"/>
  </r>
  <r>
    <n v="93"/>
    <x v="0"/>
    <n v="48"/>
    <n v="60"/>
    <n v="49"/>
    <x v="4"/>
  </r>
  <r>
    <n v="94"/>
    <x v="1"/>
    <n v="40"/>
    <n v="60"/>
    <n v="40"/>
    <x v="4"/>
  </r>
  <r>
    <n v="95"/>
    <x v="1"/>
    <n v="32"/>
    <n v="60"/>
    <n v="42"/>
    <x v="4"/>
  </r>
  <r>
    <n v="96"/>
    <x v="0"/>
    <n v="24"/>
    <n v="60"/>
    <n v="52"/>
    <x v="4"/>
  </r>
  <r>
    <n v="97"/>
    <x v="1"/>
    <n v="47"/>
    <n v="60"/>
    <n v="47"/>
    <x v="4"/>
  </r>
  <r>
    <n v="98"/>
    <x v="1"/>
    <n v="27"/>
    <n v="60"/>
    <n v="50"/>
    <x v="4"/>
  </r>
  <r>
    <n v="99"/>
    <x v="0"/>
    <n v="48"/>
    <n v="61"/>
    <n v="42"/>
    <x v="4"/>
  </r>
  <r>
    <n v="100"/>
    <x v="0"/>
    <n v="20"/>
    <n v="61"/>
    <n v="49"/>
    <x v="4"/>
  </r>
  <r>
    <n v="101"/>
    <x v="1"/>
    <n v="23"/>
    <n v="62"/>
    <n v="41"/>
    <x v="4"/>
  </r>
  <r>
    <n v="102"/>
    <x v="1"/>
    <n v="49"/>
    <n v="62"/>
    <n v="48"/>
    <x v="4"/>
  </r>
  <r>
    <n v="103"/>
    <x v="0"/>
    <n v="67"/>
    <n v="62"/>
    <n v="59"/>
    <x v="4"/>
  </r>
  <r>
    <n v="104"/>
    <x v="0"/>
    <n v="26"/>
    <n v="62"/>
    <n v="55"/>
    <x v="4"/>
  </r>
  <r>
    <n v="105"/>
    <x v="0"/>
    <n v="49"/>
    <n v="62"/>
    <n v="56"/>
    <x v="4"/>
  </r>
  <r>
    <n v="106"/>
    <x v="1"/>
    <n v="21"/>
    <n v="62"/>
    <n v="42"/>
    <x v="4"/>
  </r>
  <r>
    <n v="107"/>
    <x v="1"/>
    <n v="66"/>
    <n v="63"/>
    <n v="50"/>
    <x v="4"/>
  </r>
  <r>
    <n v="108"/>
    <x v="0"/>
    <n v="54"/>
    <n v="63"/>
    <n v="46"/>
    <x v="4"/>
  </r>
  <r>
    <n v="109"/>
    <x v="0"/>
    <n v="68"/>
    <n v="63"/>
    <n v="43"/>
    <x v="4"/>
  </r>
  <r>
    <n v="110"/>
    <x v="0"/>
    <n v="66"/>
    <n v="63"/>
    <n v="48"/>
    <x v="4"/>
  </r>
  <r>
    <n v="111"/>
    <x v="0"/>
    <n v="65"/>
    <n v="63"/>
    <n v="52"/>
    <x v="4"/>
  </r>
  <r>
    <n v="112"/>
    <x v="1"/>
    <n v="19"/>
    <n v="63"/>
    <n v="54"/>
    <x v="4"/>
  </r>
  <r>
    <n v="113"/>
    <x v="1"/>
    <n v="38"/>
    <n v="64"/>
    <n v="42"/>
    <x v="4"/>
  </r>
  <r>
    <n v="114"/>
    <x v="0"/>
    <n v="19"/>
    <n v="64"/>
    <n v="46"/>
    <x v="4"/>
  </r>
  <r>
    <n v="115"/>
    <x v="1"/>
    <n v="18"/>
    <n v="65"/>
    <n v="48"/>
    <x v="4"/>
  </r>
  <r>
    <n v="116"/>
    <x v="1"/>
    <n v="19"/>
    <n v="65"/>
    <n v="50"/>
    <x v="4"/>
  </r>
  <r>
    <n v="117"/>
    <x v="1"/>
    <n v="63"/>
    <n v="65"/>
    <n v="43"/>
    <x v="4"/>
  </r>
  <r>
    <n v="118"/>
    <x v="1"/>
    <n v="49"/>
    <n v="65"/>
    <n v="59"/>
    <x v="4"/>
  </r>
  <r>
    <n v="119"/>
    <x v="1"/>
    <n v="51"/>
    <n v="67"/>
    <n v="43"/>
    <x v="4"/>
  </r>
  <r>
    <n v="120"/>
    <x v="1"/>
    <n v="50"/>
    <n v="67"/>
    <n v="57"/>
    <x v="4"/>
  </r>
  <r>
    <n v="121"/>
    <x v="0"/>
    <n v="27"/>
    <n v="67"/>
    <n v="56"/>
    <x v="4"/>
  </r>
  <r>
    <n v="122"/>
    <x v="1"/>
    <n v="38"/>
    <n v="67"/>
    <n v="40"/>
    <x v="4"/>
  </r>
  <r>
    <n v="123"/>
    <x v="1"/>
    <n v="40"/>
    <n v="69"/>
    <n v="58"/>
    <x v="4"/>
  </r>
  <r>
    <n v="124"/>
    <x v="0"/>
    <n v="39"/>
    <n v="69"/>
    <n v="91"/>
    <x v="4"/>
  </r>
  <r>
    <n v="125"/>
    <x v="1"/>
    <n v="23"/>
    <n v="70"/>
    <n v="29"/>
    <x v="4"/>
  </r>
  <r>
    <n v="126"/>
    <x v="1"/>
    <n v="31"/>
    <n v="70"/>
    <n v="77"/>
    <x v="4"/>
  </r>
  <r>
    <n v="127"/>
    <x v="0"/>
    <n v="43"/>
    <n v="71"/>
    <n v="35"/>
    <x v="4"/>
  </r>
  <r>
    <n v="128"/>
    <x v="0"/>
    <n v="40"/>
    <n v="71"/>
    <n v="95"/>
    <x v="4"/>
  </r>
  <r>
    <n v="129"/>
    <x v="0"/>
    <n v="59"/>
    <n v="71"/>
    <n v="11"/>
    <x v="4"/>
  </r>
  <r>
    <n v="130"/>
    <x v="0"/>
    <n v="38"/>
    <n v="71"/>
    <n v="75"/>
    <x v="4"/>
  </r>
  <r>
    <n v="131"/>
    <x v="0"/>
    <n v="47"/>
    <n v="71"/>
    <n v="9"/>
    <x v="4"/>
  </r>
  <r>
    <n v="132"/>
    <x v="0"/>
    <n v="39"/>
    <n v="71"/>
    <n v="75"/>
    <x v="4"/>
  </r>
  <r>
    <n v="133"/>
    <x v="1"/>
    <n v="25"/>
    <n v="72"/>
    <n v="34"/>
    <x v="4"/>
  </r>
  <r>
    <n v="134"/>
    <x v="1"/>
    <n v="31"/>
    <n v="72"/>
    <n v="71"/>
    <x v="4"/>
  </r>
  <r>
    <n v="135"/>
    <x v="0"/>
    <n v="20"/>
    <n v="73"/>
    <n v="5"/>
    <x v="4"/>
  </r>
  <r>
    <n v="136"/>
    <x v="1"/>
    <n v="29"/>
    <n v="73"/>
    <n v="88"/>
    <x v="4"/>
  </r>
  <r>
    <n v="137"/>
    <x v="1"/>
    <n v="44"/>
    <n v="73"/>
    <n v="7"/>
    <x v="4"/>
  </r>
  <r>
    <n v="138"/>
    <x v="0"/>
    <n v="32"/>
    <n v="73"/>
    <n v="73"/>
    <x v="4"/>
  </r>
  <r>
    <n v="139"/>
    <x v="0"/>
    <n v="19"/>
    <n v="74"/>
    <n v="10"/>
    <x v="4"/>
  </r>
  <r>
    <n v="140"/>
    <x v="1"/>
    <n v="35"/>
    <n v="74"/>
    <n v="72"/>
    <x v="4"/>
  </r>
  <r>
    <n v="141"/>
    <x v="1"/>
    <n v="57"/>
    <n v="75"/>
    <n v="5"/>
    <x v="4"/>
  </r>
  <r>
    <n v="142"/>
    <x v="0"/>
    <n v="32"/>
    <n v="75"/>
    <n v="93"/>
    <x v="4"/>
  </r>
  <r>
    <n v="143"/>
    <x v="1"/>
    <n v="28"/>
    <n v="76"/>
    <n v="40"/>
    <x v="4"/>
  </r>
  <r>
    <n v="144"/>
    <x v="1"/>
    <n v="32"/>
    <n v="76"/>
    <n v="87"/>
    <x v="4"/>
  </r>
  <r>
    <n v="145"/>
    <x v="0"/>
    <n v="25"/>
    <n v="77"/>
    <n v="12"/>
    <x v="4"/>
  </r>
  <r>
    <n v="146"/>
    <x v="0"/>
    <n v="28"/>
    <n v="77"/>
    <n v="97"/>
    <x v="4"/>
  </r>
  <r>
    <n v="147"/>
    <x v="0"/>
    <n v="48"/>
    <n v="77"/>
    <n v="36"/>
    <x v="4"/>
  </r>
  <r>
    <n v="148"/>
    <x v="1"/>
    <n v="32"/>
    <n v="77"/>
    <n v="74"/>
    <x v="4"/>
  </r>
  <r>
    <n v="149"/>
    <x v="1"/>
    <n v="34"/>
    <n v="78"/>
    <n v="22"/>
    <x v="4"/>
  </r>
  <r>
    <n v="150"/>
    <x v="0"/>
    <n v="34"/>
    <n v="78"/>
    <n v="90"/>
    <x v="4"/>
  </r>
  <r>
    <n v="151"/>
    <x v="0"/>
    <n v="43"/>
    <n v="78"/>
    <n v="17"/>
    <x v="4"/>
  </r>
  <r>
    <n v="152"/>
    <x v="0"/>
    <n v="39"/>
    <n v="78"/>
    <n v="88"/>
    <x v="4"/>
  </r>
  <r>
    <n v="153"/>
    <x v="1"/>
    <n v="44"/>
    <n v="78"/>
    <n v="20"/>
    <x v="4"/>
  </r>
  <r>
    <n v="154"/>
    <x v="1"/>
    <n v="38"/>
    <n v="78"/>
    <n v="76"/>
    <x v="4"/>
  </r>
  <r>
    <n v="155"/>
    <x v="1"/>
    <n v="47"/>
    <n v="78"/>
    <n v="16"/>
    <x v="4"/>
  </r>
  <r>
    <n v="156"/>
    <x v="1"/>
    <n v="27"/>
    <n v="78"/>
    <n v="89"/>
    <x v="4"/>
  </r>
  <r>
    <n v="157"/>
    <x v="0"/>
    <n v="37"/>
    <n v="78"/>
    <n v="1"/>
    <x v="4"/>
  </r>
  <r>
    <n v="158"/>
    <x v="1"/>
    <n v="30"/>
    <n v="78"/>
    <n v="78"/>
    <x v="4"/>
  </r>
  <r>
    <n v="159"/>
    <x v="0"/>
    <n v="34"/>
    <n v="78"/>
    <n v="1"/>
    <x v="4"/>
  </r>
  <r>
    <n v="160"/>
    <x v="1"/>
    <n v="30"/>
    <n v="78"/>
    <n v="73"/>
    <x v="4"/>
  </r>
  <r>
    <n v="161"/>
    <x v="1"/>
    <n v="56"/>
    <n v="79"/>
    <n v="35"/>
    <x v="4"/>
  </r>
  <r>
    <n v="162"/>
    <x v="1"/>
    <n v="29"/>
    <n v="79"/>
    <n v="83"/>
    <x v="4"/>
  </r>
  <r>
    <n v="163"/>
    <x v="0"/>
    <n v="19"/>
    <n v="81"/>
    <n v="5"/>
    <x v="4"/>
  </r>
  <r>
    <n v="164"/>
    <x v="1"/>
    <n v="31"/>
    <n v="81"/>
    <n v="93"/>
    <x v="4"/>
  </r>
  <r>
    <n v="165"/>
    <x v="0"/>
    <n v="50"/>
    <n v="85"/>
    <n v="26"/>
    <x v="4"/>
  </r>
  <r>
    <n v="166"/>
    <x v="1"/>
    <n v="36"/>
    <n v="85"/>
    <n v="75"/>
    <x v="4"/>
  </r>
  <r>
    <n v="167"/>
    <x v="0"/>
    <n v="42"/>
    <n v="86"/>
    <n v="20"/>
    <x v="4"/>
  </r>
  <r>
    <n v="168"/>
    <x v="1"/>
    <n v="33"/>
    <n v="86"/>
    <n v="95"/>
    <x v="4"/>
  </r>
  <r>
    <n v="169"/>
    <x v="1"/>
    <n v="36"/>
    <n v="87"/>
    <n v="27"/>
    <x v="4"/>
  </r>
  <r>
    <n v="170"/>
    <x v="0"/>
    <n v="32"/>
    <n v="87"/>
    <n v="63"/>
    <x v="4"/>
  </r>
  <r>
    <n v="171"/>
    <x v="0"/>
    <n v="40"/>
    <n v="87"/>
    <n v="13"/>
    <x v="4"/>
  </r>
  <r>
    <n v="172"/>
    <x v="0"/>
    <n v="28"/>
    <n v="87"/>
    <n v="75"/>
    <x v="4"/>
  </r>
  <r>
    <n v="173"/>
    <x v="0"/>
    <n v="36"/>
    <n v="87"/>
    <n v="10"/>
    <x v="4"/>
  </r>
  <r>
    <n v="174"/>
    <x v="0"/>
    <n v="36"/>
    <n v="87"/>
    <n v="92"/>
    <x v="4"/>
  </r>
  <r>
    <n v="175"/>
    <x v="1"/>
    <n v="52"/>
    <n v="88"/>
    <n v="13"/>
    <x v="4"/>
  </r>
  <r>
    <n v="176"/>
    <x v="1"/>
    <n v="30"/>
    <n v="88"/>
    <n v="86"/>
    <x v="4"/>
  </r>
  <r>
    <n v="177"/>
    <x v="0"/>
    <n v="58"/>
    <n v="88"/>
    <n v="15"/>
    <x v="4"/>
  </r>
  <r>
    <n v="178"/>
    <x v="0"/>
    <n v="27"/>
    <n v="88"/>
    <n v="69"/>
    <x v="4"/>
  </r>
  <r>
    <n v="179"/>
    <x v="0"/>
    <n v="59"/>
    <n v="93"/>
    <n v="14"/>
    <x v="4"/>
  </r>
  <r>
    <n v="180"/>
    <x v="0"/>
    <n v="35"/>
    <n v="93"/>
    <n v="90"/>
    <x v="4"/>
  </r>
  <r>
    <n v="181"/>
    <x v="1"/>
    <n v="37"/>
    <n v="97"/>
    <n v="32"/>
    <x v="4"/>
  </r>
  <r>
    <n v="182"/>
    <x v="1"/>
    <n v="32"/>
    <n v="97"/>
    <n v="86"/>
    <x v="4"/>
  </r>
  <r>
    <n v="183"/>
    <x v="0"/>
    <n v="46"/>
    <n v="98"/>
    <n v="15"/>
    <x v="4"/>
  </r>
  <r>
    <n v="184"/>
    <x v="1"/>
    <n v="29"/>
    <n v="98"/>
    <n v="88"/>
    <x v="4"/>
  </r>
  <r>
    <n v="185"/>
    <x v="1"/>
    <n v="41"/>
    <n v="99"/>
    <n v="39"/>
    <x v="4"/>
  </r>
  <r>
    <n v="186"/>
    <x v="0"/>
    <n v="30"/>
    <n v="99"/>
    <n v="97"/>
    <x v="4"/>
  </r>
  <r>
    <n v="187"/>
    <x v="1"/>
    <n v="54"/>
    <n v="101"/>
    <n v="24"/>
    <x v="4"/>
  </r>
  <r>
    <n v="188"/>
    <x v="0"/>
    <n v="28"/>
    <n v="101"/>
    <n v="68"/>
    <x v="4"/>
  </r>
  <r>
    <n v="189"/>
    <x v="1"/>
    <n v="41"/>
    <n v="103"/>
    <n v="17"/>
    <x v="4"/>
  </r>
  <r>
    <n v="190"/>
    <x v="1"/>
    <n v="36"/>
    <n v="103"/>
    <n v="85"/>
    <x v="4"/>
  </r>
  <r>
    <n v="191"/>
    <x v="1"/>
    <n v="34"/>
    <n v="103"/>
    <n v="23"/>
    <x v="4"/>
  </r>
  <r>
    <n v="192"/>
    <x v="1"/>
    <n v="32"/>
    <n v="103"/>
    <n v="69"/>
    <x v="4"/>
  </r>
  <r>
    <n v="193"/>
    <x v="0"/>
    <n v="33"/>
    <n v="113"/>
    <n v="8"/>
    <x v="4"/>
  </r>
  <r>
    <n v="194"/>
    <x v="1"/>
    <n v="38"/>
    <n v="113"/>
    <n v="91"/>
    <x v="4"/>
  </r>
  <r>
    <n v="195"/>
    <x v="1"/>
    <n v="47"/>
    <n v="120"/>
    <n v="16"/>
    <x v="4"/>
  </r>
  <r>
    <n v="196"/>
    <x v="1"/>
    <n v="35"/>
    <n v="120"/>
    <n v="79"/>
    <x v="4"/>
  </r>
  <r>
    <n v="197"/>
    <x v="1"/>
    <n v="45"/>
    <n v="126"/>
    <n v="28"/>
    <x v="4"/>
  </r>
  <r>
    <n v="198"/>
    <x v="0"/>
    <n v="32"/>
    <n v="126"/>
    <n v="74"/>
    <x v="4"/>
  </r>
  <r>
    <n v="199"/>
    <x v="0"/>
    <n v="32"/>
    <n v="137"/>
    <n v="18"/>
    <x v="4"/>
  </r>
  <r>
    <n v="200"/>
    <x v="0"/>
    <n v="30"/>
    <n v="137"/>
    <n v="83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87"/>
    <s v="Female"/>
    <n v="55"/>
    <n v="57"/>
    <n v="58"/>
    <s v="55+"/>
    <x v="0"/>
  </r>
  <r>
    <n v="88"/>
    <s v="Female"/>
    <n v="22"/>
    <n v="57"/>
    <n v="55"/>
    <s v="55+"/>
    <x v="0"/>
  </r>
  <r>
    <n v="89"/>
    <s v="Female"/>
    <n v="34"/>
    <n v="58"/>
    <n v="60"/>
    <s v="55+"/>
    <x v="0"/>
  </r>
  <r>
    <n v="91"/>
    <s v="Female"/>
    <n v="68"/>
    <n v="59"/>
    <n v="55"/>
    <s v="55+"/>
    <x v="0"/>
  </r>
  <r>
    <n v="103"/>
    <s v="Male"/>
    <n v="67"/>
    <n v="62"/>
    <n v="59"/>
    <s v="55+"/>
    <x v="0"/>
  </r>
  <r>
    <n v="104"/>
    <s v="Male"/>
    <n v="26"/>
    <n v="62"/>
    <n v="55"/>
    <s v="55+"/>
    <x v="0"/>
  </r>
  <r>
    <n v="105"/>
    <s v="Male"/>
    <n v="49"/>
    <n v="62"/>
    <n v="56"/>
    <s v="55+"/>
    <x v="0"/>
  </r>
  <r>
    <n v="118"/>
    <s v="Female"/>
    <n v="49"/>
    <n v="65"/>
    <n v="59"/>
    <s v="55+"/>
    <x v="0"/>
  </r>
  <r>
    <n v="120"/>
    <s v="Female"/>
    <n v="50"/>
    <n v="67"/>
    <n v="57"/>
    <s v="55+"/>
    <x v="0"/>
  </r>
  <r>
    <n v="121"/>
    <s v="Male"/>
    <n v="27"/>
    <n v="67"/>
    <n v="56"/>
    <s v="55+"/>
    <x v="0"/>
  </r>
  <r>
    <n v="123"/>
    <s v="Female"/>
    <n v="40"/>
    <n v="69"/>
    <n v="58"/>
    <s v="55+"/>
    <x v="0"/>
  </r>
  <r>
    <n v="124"/>
    <s v="Male"/>
    <n v="39"/>
    <n v="69"/>
    <n v="91"/>
    <s v="55+"/>
    <x v="0"/>
  </r>
  <r>
    <n v="126"/>
    <s v="Female"/>
    <n v="31"/>
    <n v="70"/>
    <n v="77"/>
    <s v="55+"/>
    <x v="0"/>
  </r>
  <r>
    <n v="128"/>
    <s v="Male"/>
    <n v="40"/>
    <n v="71"/>
    <n v="95"/>
    <s v="55+"/>
    <x v="0"/>
  </r>
  <r>
    <n v="130"/>
    <s v="Male"/>
    <n v="38"/>
    <n v="71"/>
    <n v="75"/>
    <s v="55+"/>
    <x v="0"/>
  </r>
  <r>
    <n v="132"/>
    <s v="Male"/>
    <n v="39"/>
    <n v="71"/>
    <n v="75"/>
    <s v="55+"/>
    <x v="0"/>
  </r>
  <r>
    <n v="134"/>
    <s v="Female"/>
    <n v="31"/>
    <n v="72"/>
    <n v="71"/>
    <s v="55+"/>
    <x v="0"/>
  </r>
  <r>
    <n v="136"/>
    <s v="Female"/>
    <n v="29"/>
    <n v="73"/>
    <n v="88"/>
    <s v="55+"/>
    <x v="0"/>
  </r>
  <r>
    <n v="138"/>
    <s v="Male"/>
    <n v="32"/>
    <n v="73"/>
    <n v="73"/>
    <s v="55+"/>
    <x v="0"/>
  </r>
  <r>
    <n v="140"/>
    <s v="Female"/>
    <n v="35"/>
    <n v="74"/>
    <n v="72"/>
    <s v="55+"/>
    <x v="0"/>
  </r>
  <r>
    <n v="142"/>
    <s v="Male"/>
    <n v="32"/>
    <n v="75"/>
    <n v="93"/>
    <s v="55+"/>
    <x v="0"/>
  </r>
  <r>
    <n v="144"/>
    <s v="Female"/>
    <n v="32"/>
    <n v="76"/>
    <n v="87"/>
    <s v="55+"/>
    <x v="0"/>
  </r>
  <r>
    <n v="146"/>
    <s v="Male"/>
    <n v="28"/>
    <n v="77"/>
    <n v="97"/>
    <s v="55+"/>
    <x v="0"/>
  </r>
  <r>
    <n v="148"/>
    <s v="Female"/>
    <n v="32"/>
    <n v="77"/>
    <n v="74"/>
    <s v="55+"/>
    <x v="0"/>
  </r>
  <r>
    <n v="150"/>
    <s v="Male"/>
    <n v="34"/>
    <n v="78"/>
    <n v="90"/>
    <s v="55+"/>
    <x v="0"/>
  </r>
  <r>
    <n v="152"/>
    <s v="Male"/>
    <n v="39"/>
    <n v="78"/>
    <n v="88"/>
    <s v="55+"/>
    <x v="0"/>
  </r>
  <r>
    <n v="154"/>
    <s v="Female"/>
    <n v="38"/>
    <n v="78"/>
    <n v="76"/>
    <s v="55+"/>
    <x v="0"/>
  </r>
  <r>
    <n v="156"/>
    <s v="Female"/>
    <n v="27"/>
    <n v="78"/>
    <n v="89"/>
    <s v="55+"/>
    <x v="0"/>
  </r>
  <r>
    <n v="158"/>
    <s v="Female"/>
    <n v="30"/>
    <n v="78"/>
    <n v="78"/>
    <s v="55+"/>
    <x v="0"/>
  </r>
  <r>
    <n v="160"/>
    <s v="Female"/>
    <n v="30"/>
    <n v="78"/>
    <n v="73"/>
    <s v="55+"/>
    <x v="0"/>
  </r>
  <r>
    <n v="162"/>
    <s v="Female"/>
    <n v="29"/>
    <n v="79"/>
    <n v="83"/>
    <s v="55+"/>
    <x v="0"/>
  </r>
  <r>
    <n v="164"/>
    <s v="Female"/>
    <n v="31"/>
    <n v="81"/>
    <n v="93"/>
    <s v="55+"/>
    <x v="0"/>
  </r>
  <r>
    <n v="166"/>
    <s v="Female"/>
    <n v="36"/>
    <n v="85"/>
    <n v="75"/>
    <s v="55+"/>
    <x v="0"/>
  </r>
  <r>
    <n v="168"/>
    <s v="Female"/>
    <n v="33"/>
    <n v="86"/>
    <n v="95"/>
    <s v="55+"/>
    <x v="0"/>
  </r>
  <r>
    <n v="170"/>
    <s v="Male"/>
    <n v="32"/>
    <n v="87"/>
    <n v="63"/>
    <s v="55+"/>
    <x v="0"/>
  </r>
  <r>
    <n v="172"/>
    <s v="Male"/>
    <n v="28"/>
    <n v="87"/>
    <n v="75"/>
    <s v="55+"/>
    <x v="0"/>
  </r>
  <r>
    <n v="174"/>
    <s v="Male"/>
    <n v="36"/>
    <n v="87"/>
    <n v="92"/>
    <s v="55+"/>
    <x v="0"/>
  </r>
  <r>
    <n v="176"/>
    <s v="Female"/>
    <n v="30"/>
    <n v="88"/>
    <n v="86"/>
    <s v="55+"/>
    <x v="0"/>
  </r>
  <r>
    <n v="178"/>
    <s v="Male"/>
    <n v="27"/>
    <n v="88"/>
    <n v="69"/>
    <s v="55+"/>
    <x v="0"/>
  </r>
  <r>
    <n v="180"/>
    <s v="Male"/>
    <n v="35"/>
    <n v="93"/>
    <n v="90"/>
    <s v="55+"/>
    <x v="0"/>
  </r>
  <r>
    <n v="182"/>
    <s v="Female"/>
    <n v="32"/>
    <n v="97"/>
    <n v="86"/>
    <s v="55+"/>
    <x v="0"/>
  </r>
  <r>
    <n v="184"/>
    <s v="Female"/>
    <n v="29"/>
    <n v="98"/>
    <n v="88"/>
    <s v="55+"/>
    <x v="0"/>
  </r>
  <r>
    <n v="186"/>
    <s v="Male"/>
    <n v="30"/>
    <n v="99"/>
    <n v="97"/>
    <s v="55+"/>
    <x v="0"/>
  </r>
  <r>
    <n v="188"/>
    <s v="Male"/>
    <n v="28"/>
    <n v="101"/>
    <n v="68"/>
    <s v="55+"/>
    <x v="0"/>
  </r>
  <r>
    <n v="190"/>
    <s v="Female"/>
    <n v="36"/>
    <n v="103"/>
    <n v="85"/>
    <s v="55+"/>
    <x v="0"/>
  </r>
  <r>
    <n v="192"/>
    <s v="Female"/>
    <n v="32"/>
    <n v="103"/>
    <n v="69"/>
    <s v="55+"/>
    <x v="0"/>
  </r>
  <r>
    <n v="194"/>
    <s v="Female"/>
    <n v="38"/>
    <n v="113"/>
    <n v="91"/>
    <s v="55+"/>
    <x v="0"/>
  </r>
  <r>
    <n v="196"/>
    <s v="Female"/>
    <n v="35"/>
    <n v="120"/>
    <n v="79"/>
    <s v="55+"/>
    <x v="0"/>
  </r>
  <r>
    <n v="198"/>
    <s v="Male"/>
    <n v="32"/>
    <n v="126"/>
    <n v="74"/>
    <s v="55+"/>
    <x v="0"/>
  </r>
  <r>
    <n v="200"/>
    <s v="Male"/>
    <n v="30"/>
    <n v="137"/>
    <n v="83"/>
    <s v="55+"/>
    <x v="0"/>
  </r>
  <r>
    <n v="5"/>
    <s v="Female"/>
    <n v="31"/>
    <n v="17"/>
    <n v="40"/>
    <s v="18-25"/>
    <x v="1"/>
  </r>
  <r>
    <n v="48"/>
    <s v="Female"/>
    <n v="27"/>
    <n v="40"/>
    <n v="47"/>
    <s v="36-45"/>
    <x v="1"/>
  </r>
  <r>
    <n v="49"/>
    <s v="Female"/>
    <n v="29"/>
    <n v="40"/>
    <n v="42"/>
    <s v="36-45"/>
    <x v="1"/>
  </r>
  <r>
    <n v="50"/>
    <s v="Female"/>
    <n v="31"/>
    <n v="40"/>
    <n v="42"/>
    <s v="36-45"/>
    <x v="1"/>
  </r>
  <r>
    <n v="51"/>
    <s v="Female"/>
    <n v="49"/>
    <n v="42"/>
    <n v="52"/>
    <s v="36-45"/>
    <x v="1"/>
  </r>
  <r>
    <n v="53"/>
    <s v="Female"/>
    <n v="31"/>
    <n v="43"/>
    <n v="54"/>
    <s v="36-45"/>
    <x v="1"/>
  </r>
  <r>
    <n v="55"/>
    <s v="Female"/>
    <n v="50"/>
    <n v="43"/>
    <n v="45"/>
    <s v="36-45"/>
    <x v="1"/>
  </r>
  <r>
    <n v="56"/>
    <s v="Male"/>
    <n v="47"/>
    <n v="43"/>
    <n v="41"/>
    <s v="36-45"/>
    <x v="1"/>
  </r>
  <r>
    <n v="57"/>
    <s v="Female"/>
    <n v="51"/>
    <n v="44"/>
    <n v="50"/>
    <s v="36-45"/>
    <x v="1"/>
  </r>
  <r>
    <n v="58"/>
    <s v="Male"/>
    <n v="69"/>
    <n v="44"/>
    <n v="46"/>
    <s v="36-45"/>
    <x v="1"/>
  </r>
  <r>
    <n v="59"/>
    <s v="Female"/>
    <n v="27"/>
    <n v="46"/>
    <n v="51"/>
    <s v="46-55"/>
    <x v="1"/>
  </r>
  <r>
    <n v="60"/>
    <s v="Male"/>
    <n v="53"/>
    <n v="46"/>
    <n v="46"/>
    <s v="46-55"/>
    <x v="1"/>
  </r>
  <r>
    <n v="63"/>
    <s v="Female"/>
    <n v="67"/>
    <n v="47"/>
    <n v="52"/>
    <s v="46-55"/>
    <x v="1"/>
  </r>
  <r>
    <n v="65"/>
    <s v="Male"/>
    <n v="63"/>
    <n v="48"/>
    <n v="51"/>
    <s v="46-55"/>
    <x v="1"/>
  </r>
  <r>
    <n v="67"/>
    <s v="Female"/>
    <n v="43"/>
    <n v="48"/>
    <n v="50"/>
    <s v="46-55"/>
    <x v="1"/>
  </r>
  <r>
    <n v="68"/>
    <s v="Female"/>
    <n v="68"/>
    <n v="48"/>
    <n v="48"/>
    <s v="46-55"/>
    <x v="1"/>
  </r>
  <r>
    <n v="70"/>
    <s v="Female"/>
    <n v="32"/>
    <n v="48"/>
    <n v="47"/>
    <s v="46-55"/>
    <x v="1"/>
  </r>
  <r>
    <n v="72"/>
    <s v="Female"/>
    <n v="47"/>
    <n v="49"/>
    <n v="42"/>
    <s v="46-55"/>
    <x v="1"/>
  </r>
  <r>
    <n v="73"/>
    <s v="Female"/>
    <n v="60"/>
    <n v="50"/>
    <n v="49"/>
    <s v="46-55"/>
    <x v="1"/>
  </r>
  <r>
    <n v="75"/>
    <s v="Male"/>
    <n v="59"/>
    <n v="54"/>
    <n v="47"/>
    <s v="46-55"/>
    <x v="1"/>
  </r>
  <r>
    <n v="76"/>
    <s v="Male"/>
    <n v="26"/>
    <n v="54"/>
    <n v="54"/>
    <s v="46-55"/>
    <x v="1"/>
  </r>
  <r>
    <n v="77"/>
    <s v="Female"/>
    <n v="45"/>
    <n v="54"/>
    <n v="53"/>
    <s v="46-55"/>
    <x v="1"/>
  </r>
  <r>
    <n v="78"/>
    <s v="Male"/>
    <n v="40"/>
    <n v="54"/>
    <n v="48"/>
    <s v="46-55"/>
    <x v="1"/>
  </r>
  <r>
    <n v="79"/>
    <s v="Female"/>
    <n v="23"/>
    <n v="54"/>
    <n v="52"/>
    <s v="46-55"/>
    <x v="1"/>
  </r>
  <r>
    <n v="80"/>
    <s v="Female"/>
    <n v="49"/>
    <n v="54"/>
    <n v="42"/>
    <s v="46-55"/>
    <x v="1"/>
  </r>
  <r>
    <n v="81"/>
    <s v="Male"/>
    <n v="57"/>
    <n v="54"/>
    <n v="51"/>
    <s v="46-55"/>
    <x v="1"/>
  </r>
  <r>
    <n v="83"/>
    <s v="Male"/>
    <n v="67"/>
    <n v="54"/>
    <n v="41"/>
    <s v="46-55"/>
    <x v="1"/>
  </r>
  <r>
    <n v="84"/>
    <s v="Female"/>
    <n v="46"/>
    <n v="54"/>
    <n v="44"/>
    <s v="46-55"/>
    <x v="1"/>
  </r>
  <r>
    <n v="86"/>
    <s v="Male"/>
    <n v="48"/>
    <n v="54"/>
    <n v="46"/>
    <s v="46-55"/>
    <x v="1"/>
  </r>
  <r>
    <n v="90"/>
    <s v="Female"/>
    <n v="50"/>
    <n v="58"/>
    <n v="46"/>
    <s v="55+"/>
    <x v="2"/>
  </r>
  <r>
    <n v="92"/>
    <s v="Male"/>
    <n v="18"/>
    <n v="59"/>
    <n v="41"/>
    <s v="55+"/>
    <x v="2"/>
  </r>
  <r>
    <n v="93"/>
    <s v="Male"/>
    <n v="48"/>
    <n v="60"/>
    <n v="49"/>
    <s v="55+"/>
    <x v="2"/>
  </r>
  <r>
    <n v="94"/>
    <s v="Female"/>
    <n v="40"/>
    <n v="60"/>
    <n v="40"/>
    <s v="55+"/>
    <x v="2"/>
  </r>
  <r>
    <n v="95"/>
    <s v="Female"/>
    <n v="32"/>
    <n v="60"/>
    <n v="42"/>
    <s v="55+"/>
    <x v="2"/>
  </r>
  <r>
    <n v="96"/>
    <s v="Male"/>
    <n v="24"/>
    <n v="60"/>
    <n v="52"/>
    <s v="55+"/>
    <x v="2"/>
  </r>
  <r>
    <n v="97"/>
    <s v="Female"/>
    <n v="47"/>
    <n v="60"/>
    <n v="47"/>
    <s v="55+"/>
    <x v="2"/>
  </r>
  <r>
    <n v="98"/>
    <s v="Female"/>
    <n v="27"/>
    <n v="60"/>
    <n v="50"/>
    <s v="55+"/>
    <x v="2"/>
  </r>
  <r>
    <n v="99"/>
    <s v="Male"/>
    <n v="48"/>
    <n v="61"/>
    <n v="42"/>
    <s v="55+"/>
    <x v="2"/>
  </r>
  <r>
    <n v="100"/>
    <s v="Male"/>
    <n v="20"/>
    <n v="61"/>
    <n v="49"/>
    <s v="55+"/>
    <x v="2"/>
  </r>
  <r>
    <n v="101"/>
    <s v="Female"/>
    <n v="23"/>
    <n v="62"/>
    <n v="41"/>
    <s v="55+"/>
    <x v="2"/>
  </r>
  <r>
    <n v="102"/>
    <s v="Female"/>
    <n v="49"/>
    <n v="62"/>
    <n v="48"/>
    <s v="55+"/>
    <x v="2"/>
  </r>
  <r>
    <n v="106"/>
    <s v="Female"/>
    <n v="21"/>
    <n v="62"/>
    <n v="42"/>
    <s v="55+"/>
    <x v="2"/>
  </r>
  <r>
    <n v="107"/>
    <s v="Female"/>
    <n v="66"/>
    <n v="63"/>
    <n v="50"/>
    <s v="55+"/>
    <x v="2"/>
  </r>
  <r>
    <n v="108"/>
    <s v="Male"/>
    <n v="54"/>
    <n v="63"/>
    <n v="46"/>
    <s v="55+"/>
    <x v="2"/>
  </r>
  <r>
    <n v="109"/>
    <s v="Male"/>
    <n v="68"/>
    <n v="63"/>
    <n v="43"/>
    <s v="55+"/>
    <x v="2"/>
  </r>
  <r>
    <n v="110"/>
    <s v="Male"/>
    <n v="66"/>
    <n v="63"/>
    <n v="48"/>
    <s v="55+"/>
    <x v="2"/>
  </r>
  <r>
    <n v="111"/>
    <s v="Male"/>
    <n v="65"/>
    <n v="63"/>
    <n v="52"/>
    <s v="55+"/>
    <x v="2"/>
  </r>
  <r>
    <n v="112"/>
    <s v="Female"/>
    <n v="19"/>
    <n v="63"/>
    <n v="54"/>
    <s v="55+"/>
    <x v="2"/>
  </r>
  <r>
    <n v="113"/>
    <s v="Female"/>
    <n v="38"/>
    <n v="64"/>
    <n v="42"/>
    <s v="55+"/>
    <x v="2"/>
  </r>
  <r>
    <n v="114"/>
    <s v="Male"/>
    <n v="19"/>
    <n v="64"/>
    <n v="46"/>
    <s v="55+"/>
    <x v="2"/>
  </r>
  <r>
    <n v="115"/>
    <s v="Female"/>
    <n v="18"/>
    <n v="65"/>
    <n v="48"/>
    <s v="55+"/>
    <x v="2"/>
  </r>
  <r>
    <n v="116"/>
    <s v="Female"/>
    <n v="19"/>
    <n v="65"/>
    <n v="50"/>
    <s v="55+"/>
    <x v="2"/>
  </r>
  <r>
    <n v="117"/>
    <s v="Female"/>
    <n v="63"/>
    <n v="65"/>
    <n v="43"/>
    <s v="55+"/>
    <x v="2"/>
  </r>
  <r>
    <n v="119"/>
    <s v="Female"/>
    <n v="51"/>
    <n v="67"/>
    <n v="43"/>
    <s v="55+"/>
    <x v="2"/>
  </r>
  <r>
    <n v="122"/>
    <s v="Female"/>
    <n v="38"/>
    <n v="67"/>
    <n v="40"/>
    <s v="55+"/>
    <x v="2"/>
  </r>
  <r>
    <n v="125"/>
    <s v="Female"/>
    <n v="23"/>
    <n v="70"/>
    <n v="29"/>
    <s v="55+"/>
    <x v="2"/>
  </r>
  <r>
    <n v="127"/>
    <s v="Male"/>
    <n v="43"/>
    <n v="71"/>
    <n v="35"/>
    <s v="55+"/>
    <x v="2"/>
  </r>
  <r>
    <n v="129"/>
    <s v="Male"/>
    <n v="59"/>
    <n v="71"/>
    <n v="11"/>
    <s v="55+"/>
    <x v="2"/>
  </r>
  <r>
    <n v="131"/>
    <s v="Male"/>
    <n v="47"/>
    <n v="71"/>
    <n v="9"/>
    <s v="55+"/>
    <x v="2"/>
  </r>
  <r>
    <n v="133"/>
    <s v="Female"/>
    <n v="25"/>
    <n v="72"/>
    <n v="34"/>
    <s v="55+"/>
    <x v="2"/>
  </r>
  <r>
    <n v="135"/>
    <s v="Male"/>
    <n v="20"/>
    <n v="73"/>
    <n v="5"/>
    <s v="55+"/>
    <x v="2"/>
  </r>
  <r>
    <n v="137"/>
    <s v="Female"/>
    <n v="44"/>
    <n v="73"/>
    <n v="7"/>
    <s v="55+"/>
    <x v="2"/>
  </r>
  <r>
    <n v="139"/>
    <s v="Male"/>
    <n v="19"/>
    <n v="74"/>
    <n v="10"/>
    <s v="55+"/>
    <x v="2"/>
  </r>
  <r>
    <n v="141"/>
    <s v="Female"/>
    <n v="57"/>
    <n v="75"/>
    <n v="5"/>
    <s v="55+"/>
    <x v="2"/>
  </r>
  <r>
    <n v="143"/>
    <s v="Female"/>
    <n v="28"/>
    <n v="76"/>
    <n v="40"/>
    <s v="55+"/>
    <x v="2"/>
  </r>
  <r>
    <n v="145"/>
    <s v="Male"/>
    <n v="25"/>
    <n v="77"/>
    <n v="12"/>
    <s v="55+"/>
    <x v="2"/>
  </r>
  <r>
    <n v="147"/>
    <s v="Male"/>
    <n v="48"/>
    <n v="77"/>
    <n v="36"/>
    <s v="55+"/>
    <x v="2"/>
  </r>
  <r>
    <n v="149"/>
    <s v="Female"/>
    <n v="34"/>
    <n v="78"/>
    <n v="22"/>
    <s v="55+"/>
    <x v="2"/>
  </r>
  <r>
    <n v="151"/>
    <s v="Male"/>
    <n v="43"/>
    <n v="78"/>
    <n v="17"/>
    <s v="55+"/>
    <x v="2"/>
  </r>
  <r>
    <n v="153"/>
    <s v="Female"/>
    <n v="44"/>
    <n v="78"/>
    <n v="20"/>
    <s v="55+"/>
    <x v="2"/>
  </r>
  <r>
    <n v="155"/>
    <s v="Female"/>
    <n v="47"/>
    <n v="78"/>
    <n v="16"/>
    <s v="55+"/>
    <x v="2"/>
  </r>
  <r>
    <n v="157"/>
    <s v="Male"/>
    <n v="37"/>
    <n v="78"/>
    <n v="1"/>
    <s v="55+"/>
    <x v="2"/>
  </r>
  <r>
    <n v="159"/>
    <s v="Male"/>
    <n v="34"/>
    <n v="78"/>
    <n v="1"/>
    <s v="55+"/>
    <x v="2"/>
  </r>
  <r>
    <n v="161"/>
    <s v="Female"/>
    <n v="56"/>
    <n v="79"/>
    <n v="35"/>
    <s v="55+"/>
    <x v="2"/>
  </r>
  <r>
    <n v="163"/>
    <s v="Male"/>
    <n v="19"/>
    <n v="81"/>
    <n v="5"/>
    <s v="55+"/>
    <x v="2"/>
  </r>
  <r>
    <n v="165"/>
    <s v="Male"/>
    <n v="50"/>
    <n v="85"/>
    <n v="26"/>
    <s v="55+"/>
    <x v="2"/>
  </r>
  <r>
    <n v="167"/>
    <s v="Male"/>
    <n v="42"/>
    <n v="86"/>
    <n v="20"/>
    <s v="55+"/>
    <x v="2"/>
  </r>
  <r>
    <n v="169"/>
    <s v="Female"/>
    <n v="36"/>
    <n v="87"/>
    <n v="27"/>
    <s v="55+"/>
    <x v="2"/>
  </r>
  <r>
    <n v="171"/>
    <s v="Male"/>
    <n v="40"/>
    <n v="87"/>
    <n v="13"/>
    <s v="55+"/>
    <x v="2"/>
  </r>
  <r>
    <n v="173"/>
    <s v="Male"/>
    <n v="36"/>
    <n v="87"/>
    <n v="10"/>
    <s v="55+"/>
    <x v="2"/>
  </r>
  <r>
    <n v="175"/>
    <s v="Female"/>
    <n v="52"/>
    <n v="88"/>
    <n v="13"/>
    <s v="55+"/>
    <x v="2"/>
  </r>
  <r>
    <n v="177"/>
    <s v="Male"/>
    <n v="58"/>
    <n v="88"/>
    <n v="15"/>
    <s v="55+"/>
    <x v="2"/>
  </r>
  <r>
    <n v="179"/>
    <s v="Male"/>
    <n v="59"/>
    <n v="93"/>
    <n v="14"/>
    <s v="55+"/>
    <x v="2"/>
  </r>
  <r>
    <n v="181"/>
    <s v="Female"/>
    <n v="37"/>
    <n v="97"/>
    <n v="32"/>
    <s v="55+"/>
    <x v="2"/>
  </r>
  <r>
    <n v="183"/>
    <s v="Male"/>
    <n v="46"/>
    <n v="98"/>
    <n v="15"/>
    <s v="55+"/>
    <x v="2"/>
  </r>
  <r>
    <n v="185"/>
    <s v="Female"/>
    <n v="41"/>
    <n v="99"/>
    <n v="39"/>
    <s v="55+"/>
    <x v="2"/>
  </r>
  <r>
    <n v="187"/>
    <s v="Female"/>
    <n v="54"/>
    <n v="101"/>
    <n v="24"/>
    <s v="55+"/>
    <x v="2"/>
  </r>
  <r>
    <n v="189"/>
    <s v="Female"/>
    <n v="41"/>
    <n v="103"/>
    <n v="17"/>
    <s v="55+"/>
    <x v="2"/>
  </r>
  <r>
    <n v="191"/>
    <s v="Female"/>
    <n v="34"/>
    <n v="103"/>
    <n v="23"/>
    <s v="55+"/>
    <x v="2"/>
  </r>
  <r>
    <n v="193"/>
    <s v="Male"/>
    <n v="33"/>
    <n v="113"/>
    <n v="8"/>
    <s v="55+"/>
    <x v="2"/>
  </r>
  <r>
    <n v="195"/>
    <s v="Female"/>
    <n v="47"/>
    <n v="120"/>
    <n v="16"/>
    <s v="55+"/>
    <x v="2"/>
  </r>
  <r>
    <n v="197"/>
    <s v="Female"/>
    <n v="45"/>
    <n v="126"/>
    <n v="28"/>
    <s v="55+"/>
    <x v="2"/>
  </r>
  <r>
    <n v="199"/>
    <s v="Male"/>
    <n v="32"/>
    <n v="137"/>
    <n v="18"/>
    <s v="55+"/>
    <x v="2"/>
  </r>
  <r>
    <n v="2"/>
    <s v="Male"/>
    <n v="21"/>
    <n v="15"/>
    <n v="81"/>
    <s v="18-25"/>
    <x v="3"/>
  </r>
  <r>
    <n v="4"/>
    <s v="Female"/>
    <n v="23"/>
    <n v="16"/>
    <n v="77"/>
    <s v="18-25"/>
    <x v="3"/>
  </r>
  <r>
    <n v="6"/>
    <s v="Female"/>
    <n v="22"/>
    <n v="17"/>
    <n v="76"/>
    <s v="18-25"/>
    <x v="3"/>
  </r>
  <r>
    <n v="8"/>
    <s v="Female"/>
    <n v="23"/>
    <n v="18"/>
    <n v="94"/>
    <s v="18-25"/>
    <x v="3"/>
  </r>
  <r>
    <n v="10"/>
    <s v="Female"/>
    <n v="30"/>
    <n v="19"/>
    <n v="72"/>
    <s v="18-25"/>
    <x v="3"/>
  </r>
  <r>
    <n v="12"/>
    <s v="Female"/>
    <n v="35"/>
    <n v="19"/>
    <n v="99"/>
    <s v="18-25"/>
    <x v="3"/>
  </r>
  <r>
    <n v="14"/>
    <s v="Female"/>
    <n v="24"/>
    <n v="20"/>
    <n v="77"/>
    <s v="18-25"/>
    <x v="3"/>
  </r>
  <r>
    <n v="16"/>
    <s v="Male"/>
    <n v="22"/>
    <n v="20"/>
    <n v="79"/>
    <s v="18-25"/>
    <x v="3"/>
  </r>
  <r>
    <n v="18"/>
    <s v="Male"/>
    <n v="20"/>
    <n v="21"/>
    <n v="66"/>
    <s v="18-25"/>
    <x v="3"/>
  </r>
  <r>
    <n v="20"/>
    <s v="Female"/>
    <n v="35"/>
    <n v="23"/>
    <n v="98"/>
    <s v="18-25"/>
    <x v="3"/>
  </r>
  <r>
    <n v="22"/>
    <s v="Male"/>
    <n v="25"/>
    <n v="24"/>
    <n v="73"/>
    <s v="18-25"/>
    <x v="3"/>
  </r>
  <r>
    <n v="24"/>
    <s v="Male"/>
    <n v="31"/>
    <n v="25"/>
    <n v="73"/>
    <s v="18-25"/>
    <x v="3"/>
  </r>
  <r>
    <n v="26"/>
    <s v="Male"/>
    <n v="29"/>
    <n v="28"/>
    <n v="82"/>
    <s v="26-35"/>
    <x v="3"/>
  </r>
  <r>
    <n v="28"/>
    <s v="Male"/>
    <n v="35"/>
    <n v="28"/>
    <n v="61"/>
    <s v="26-35"/>
    <x v="3"/>
  </r>
  <r>
    <n v="30"/>
    <s v="Female"/>
    <n v="23"/>
    <n v="29"/>
    <n v="87"/>
    <s v="26-35"/>
    <x v="3"/>
  </r>
  <r>
    <n v="32"/>
    <s v="Female"/>
    <n v="21"/>
    <n v="30"/>
    <n v="73"/>
    <s v="26-35"/>
    <x v="3"/>
  </r>
  <r>
    <n v="34"/>
    <s v="Male"/>
    <n v="18"/>
    <n v="33"/>
    <n v="92"/>
    <s v="26-35"/>
    <x v="3"/>
  </r>
  <r>
    <n v="36"/>
    <s v="Female"/>
    <n v="21"/>
    <n v="33"/>
    <n v="81"/>
    <s v="26-35"/>
    <x v="3"/>
  </r>
  <r>
    <n v="38"/>
    <s v="Female"/>
    <n v="30"/>
    <n v="34"/>
    <n v="73"/>
    <s v="26-35"/>
    <x v="3"/>
  </r>
  <r>
    <n v="40"/>
    <s v="Female"/>
    <n v="20"/>
    <n v="37"/>
    <n v="75"/>
    <s v="36-45"/>
    <x v="3"/>
  </r>
  <r>
    <n v="42"/>
    <s v="Male"/>
    <n v="24"/>
    <n v="38"/>
    <n v="92"/>
    <s v="36-45"/>
    <x v="3"/>
  </r>
  <r>
    <n v="44"/>
    <s v="Female"/>
    <n v="31"/>
    <n v="39"/>
    <n v="61"/>
    <s v="36-45"/>
    <x v="3"/>
  </r>
  <r>
    <n v="46"/>
    <s v="Female"/>
    <n v="24"/>
    <n v="39"/>
    <n v="65"/>
    <s v="36-45"/>
    <x v="3"/>
  </r>
  <r>
    <n v="47"/>
    <s v="Female"/>
    <n v="50"/>
    <n v="40"/>
    <n v="55"/>
    <s v="36-45"/>
    <x v="3"/>
  </r>
  <r>
    <n v="52"/>
    <s v="Male"/>
    <n v="33"/>
    <n v="42"/>
    <n v="60"/>
    <s v="36-45"/>
    <x v="3"/>
  </r>
  <r>
    <n v="54"/>
    <s v="Male"/>
    <n v="59"/>
    <n v="43"/>
    <n v="60"/>
    <s v="36-45"/>
    <x v="3"/>
  </r>
  <r>
    <n v="61"/>
    <s v="Male"/>
    <n v="70"/>
    <n v="46"/>
    <n v="56"/>
    <s v="46-55"/>
    <x v="3"/>
  </r>
  <r>
    <n v="62"/>
    <s v="Male"/>
    <n v="19"/>
    <n v="46"/>
    <n v="55"/>
    <s v="46-55"/>
    <x v="3"/>
  </r>
  <r>
    <n v="64"/>
    <s v="Female"/>
    <n v="54"/>
    <n v="47"/>
    <n v="59"/>
    <s v="46-55"/>
    <x v="3"/>
  </r>
  <r>
    <n v="66"/>
    <s v="Male"/>
    <n v="18"/>
    <n v="48"/>
    <n v="59"/>
    <s v="46-55"/>
    <x v="3"/>
  </r>
  <r>
    <n v="69"/>
    <s v="Male"/>
    <n v="19"/>
    <n v="48"/>
    <n v="59"/>
    <s v="46-55"/>
    <x v="3"/>
  </r>
  <r>
    <n v="71"/>
    <s v="Male"/>
    <n v="70"/>
    <n v="49"/>
    <n v="55"/>
    <s v="46-55"/>
    <x v="3"/>
  </r>
  <r>
    <n v="74"/>
    <s v="Female"/>
    <n v="60"/>
    <n v="50"/>
    <n v="56"/>
    <s v="46-55"/>
    <x v="3"/>
  </r>
  <r>
    <n v="82"/>
    <s v="Male"/>
    <n v="38"/>
    <n v="54"/>
    <n v="55"/>
    <s v="46-55"/>
    <x v="3"/>
  </r>
  <r>
    <n v="85"/>
    <s v="Female"/>
    <n v="21"/>
    <n v="54"/>
    <n v="57"/>
    <s v="46-55"/>
    <x v="3"/>
  </r>
  <r>
    <n v="1"/>
    <s v="Male"/>
    <n v="19"/>
    <n v="15"/>
    <n v="39"/>
    <s v="18-25"/>
    <x v="4"/>
  </r>
  <r>
    <n v="3"/>
    <s v="Female"/>
    <n v="20"/>
    <n v="16"/>
    <n v="6"/>
    <s v="18-25"/>
    <x v="4"/>
  </r>
  <r>
    <n v="7"/>
    <s v="Female"/>
    <n v="35"/>
    <n v="18"/>
    <n v="6"/>
    <s v="18-25"/>
    <x v="4"/>
  </r>
  <r>
    <n v="9"/>
    <s v="Male"/>
    <n v="64"/>
    <n v="19"/>
    <n v="3"/>
    <s v="18-25"/>
    <x v="4"/>
  </r>
  <r>
    <n v="11"/>
    <s v="Male"/>
    <n v="67"/>
    <n v="19"/>
    <n v="14"/>
    <s v="18-25"/>
    <x v="4"/>
  </r>
  <r>
    <n v="13"/>
    <s v="Female"/>
    <n v="58"/>
    <n v="20"/>
    <n v="15"/>
    <s v="18-25"/>
    <x v="4"/>
  </r>
  <r>
    <n v="15"/>
    <s v="Male"/>
    <n v="37"/>
    <n v="20"/>
    <n v="13"/>
    <s v="18-25"/>
    <x v="4"/>
  </r>
  <r>
    <n v="17"/>
    <s v="Female"/>
    <n v="35"/>
    <n v="21"/>
    <n v="35"/>
    <s v="18-25"/>
    <x v="4"/>
  </r>
  <r>
    <n v="19"/>
    <s v="Male"/>
    <n v="52"/>
    <n v="23"/>
    <n v="29"/>
    <s v="18-25"/>
    <x v="4"/>
  </r>
  <r>
    <n v="21"/>
    <s v="Male"/>
    <n v="35"/>
    <n v="24"/>
    <n v="35"/>
    <s v="18-25"/>
    <x v="4"/>
  </r>
  <r>
    <n v="23"/>
    <s v="Female"/>
    <n v="46"/>
    <n v="25"/>
    <n v="5"/>
    <s v="18-25"/>
    <x v="4"/>
  </r>
  <r>
    <n v="25"/>
    <s v="Female"/>
    <n v="54"/>
    <n v="28"/>
    <n v="14"/>
    <s v="26-35"/>
    <x v="4"/>
  </r>
  <r>
    <n v="27"/>
    <s v="Female"/>
    <n v="45"/>
    <n v="28"/>
    <n v="32"/>
    <s v="26-35"/>
    <x v="4"/>
  </r>
  <r>
    <n v="29"/>
    <s v="Female"/>
    <n v="40"/>
    <n v="29"/>
    <n v="31"/>
    <s v="26-35"/>
    <x v="4"/>
  </r>
  <r>
    <n v="31"/>
    <s v="Male"/>
    <n v="60"/>
    <n v="30"/>
    <n v="4"/>
    <s v="26-35"/>
    <x v="4"/>
  </r>
  <r>
    <n v="33"/>
    <s v="Male"/>
    <n v="53"/>
    <n v="33"/>
    <n v="4"/>
    <s v="26-35"/>
    <x v="4"/>
  </r>
  <r>
    <n v="35"/>
    <s v="Female"/>
    <n v="49"/>
    <n v="33"/>
    <n v="14"/>
    <s v="26-35"/>
    <x v="4"/>
  </r>
  <r>
    <n v="37"/>
    <s v="Female"/>
    <n v="42"/>
    <n v="34"/>
    <n v="17"/>
    <s v="26-35"/>
    <x v="4"/>
  </r>
  <r>
    <n v="39"/>
    <s v="Female"/>
    <n v="36"/>
    <n v="37"/>
    <n v="26"/>
    <s v="36-45"/>
    <x v="4"/>
  </r>
  <r>
    <n v="41"/>
    <s v="Female"/>
    <n v="65"/>
    <n v="38"/>
    <n v="35"/>
    <s v="36-45"/>
    <x v="4"/>
  </r>
  <r>
    <n v="43"/>
    <s v="Male"/>
    <n v="48"/>
    <n v="39"/>
    <n v="36"/>
    <s v="36-45"/>
    <x v="4"/>
  </r>
  <r>
    <n v="45"/>
    <s v="Female"/>
    <n v="49"/>
    <n v="39"/>
    <n v="28"/>
    <s v="36-4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BCC7F-2365-4F3E-AFAA-07A732FC0AEC}" name="PivotTable3" cacheId="6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1:D17" firstHeaderRow="0" firstDataRow="1" firstDataCol="1"/>
  <pivotFields count="7"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axis="axisRow" compact="0" outline="0" showAll="0">
      <items count="6">
        <item x="4"/>
        <item x="3"/>
        <item x="2"/>
        <item x="1"/>
        <item x="0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nnual Income (k$)" fld="3" subtotal="average" baseField="0" baseItem="0"/>
    <dataField name="Average of Spending Score (1-100)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BE5BF-F05E-45C9-AA34-92C0ECC590FA}" name="PivotTable1" cacheId="6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:E8" firstHeaderRow="0" firstDataRow="1" firstDataCol="1"/>
  <pivotFields count="6"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nnual Income (k$)" fld="3" subtotal="average" baseField="0" baseItem="0"/>
    <dataField name="Average of Spending Score (1-100)" fld="4" subtotal="average" baseField="0" baseItem="0"/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16134-A576-43A3-A788-779A3A4A6DA9}" name="PivotTable2" cacheId="6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2:J5" firstHeaderRow="0" firstDataRow="1" firstDataCol="1"/>
  <pivotFields count="6">
    <pivotField dataField="1"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pending Score (1-100)" fld="4" subtotal="average" baseField="0" baseItem="0"/>
    <dataField name="Average of Annual Income (k$)" fld="3" subtotal="average" baseField="0" baseItem="0"/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4C4DD1-53C8-41A1-9D76-9AAFAE82D881}" name="Table1" displayName="Table1" ref="A1:F201" totalsRowShown="0">
  <autoFilter ref="A1:F201" xr:uid="{474C4DD1-53C8-41A1-9D76-9AAFAE82D881}"/>
  <tableColumns count="6">
    <tableColumn id="1" xr3:uid="{37D93BB3-2F88-4878-ADE1-964BE7605092}" name="CustomerID"/>
    <tableColumn id="2" xr3:uid="{C3B7145B-7801-4BBF-94C8-B647F698D702}" name="Gender"/>
    <tableColumn id="3" xr3:uid="{603AC24C-8FCD-4A0B-83E5-79882FF98A30}" name="Age"/>
    <tableColumn id="4" xr3:uid="{83993B25-9DD3-4427-B0A7-283E8000A794}" name="Annual Income (k$)"/>
    <tableColumn id="5" xr3:uid="{F857ABAD-302E-42F6-9058-3D01646F38E8}" name="Spending Score (1-100)"/>
    <tableColumn id="6" xr3:uid="{D9C6C51C-649F-4BB7-A41E-6587606122C4}" name="Age Group " dataDxfId="4">
      <calculatedColumnFormula>IF(D2&lt;=25,"18-25",IF(D2&lt;=35,"26-35",IF(D2&lt;=45,"36-45",IF(D2&lt;=55,"46-55","55+"))))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A5EAC8-68C1-4460-B022-B7051B4FBDDD}" name="Table3" displayName="Table3" ref="A1:G201" totalsRowShown="0">
  <autoFilter ref="A1:G201" xr:uid="{42A5EAC8-68C1-4460-B022-B7051B4FBDDD}"/>
  <tableColumns count="7">
    <tableColumn id="1" xr3:uid="{BC899894-AF55-43B6-BDE2-C9C9BAD3DAA0}" name="CustomerID"/>
    <tableColumn id="2" xr3:uid="{2220B3B4-EEFC-4B99-9787-1711EA442AA0}" name="Gender"/>
    <tableColumn id="3" xr3:uid="{3D88D4B2-9F87-46CA-80F7-0F2138B75411}" name="Age"/>
    <tableColumn id="4" xr3:uid="{7949CFEB-234F-467A-A848-FB99DBBBA61B}" name="Annual Income (k$)"/>
    <tableColumn id="5" xr3:uid="{B201A39C-F608-459A-9747-39E2AA5E01DC}" name="Spending Score (1-100)"/>
    <tableColumn id="6" xr3:uid="{26D0A158-42F2-41C3-94CF-132132728B2C}" name="Age Group " dataDxfId="3"/>
    <tableColumn id="7" xr3:uid="{51C8305A-7E01-42D4-881B-7E01DA423E78}" name="Segment ">
      <calculatedColumnFormula>IF(AND(E2&gt;=55,D2&gt;=55),"Premium Loyalists",IF(AND(E2&gt;=55,D2&lt;55),"High Earners Low Spend",IF(AND(E2&lt;55,D2&gt;=55),"Impulsive Buyers",IF(AND(E2&lt;40,D2&lt;40),"Budget Conscious","Mid-Market"))))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9019F1-CD88-4024-9562-A6C53802141E}" name="Table2" displayName="Table2" ref="Q4:U9" totalsRowShown="0">
  <autoFilter ref="Q4:U9" xr:uid="{149019F1-CD88-4024-9562-A6C53802141E}"/>
  <tableColumns count="5">
    <tableColumn id="1" xr3:uid="{E7F81181-B517-4899-A1FB-111CCFC39853}" name="Segment"/>
    <tableColumn id="2" xr3:uid="{E91E69CD-5304-4562-96FF-9FE2C6CBDD10}" name="No. of Customers" dataDxfId="2"/>
    <tableColumn id="3" xr3:uid="{6A23F932-F5E4-45FB-8AC6-ADA8617D22C7}" name="Avg Income (k$)" dataDxfId="1"/>
    <tableColumn id="4" xr3:uid="{B7CECB07-8290-4E33-8F15-00E39400D099}" name="Avg Spending Score" dataDxfId="0"/>
    <tableColumn id="5" xr3:uid="{8371D3AE-78A0-4AE5-A256-D176FF6A6244}" name="Profil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opLeftCell="A19" workbookViewId="0"/>
  </sheetViews>
  <sheetFormatPr defaultRowHeight="15"/>
  <cols>
    <col min="1" max="1" width="13.7109375" bestFit="1" customWidth="1"/>
    <col min="2" max="2" width="9.7109375" bestFit="1" customWidth="1"/>
    <col min="4" max="4" width="20.42578125" bestFit="1" customWidth="1"/>
    <col min="5" max="5" width="23.5703125" bestFit="1" customWidth="1"/>
    <col min="6" max="6" width="13.140625" style="1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>
        <v>1</v>
      </c>
      <c r="B2" t="s">
        <v>6</v>
      </c>
      <c r="C2">
        <v>19</v>
      </c>
      <c r="D2">
        <v>15</v>
      </c>
      <c r="E2">
        <v>39</v>
      </c>
      <c r="F2" s="1" t="str">
        <f t="shared" ref="F2:F33" si="0">IF(D2&lt;=25,"18-25",IF(D2&lt;=35,"26-35",IF(D2&lt;=45,"36-45",IF(D2&lt;=55,"46-55","55+"))))</f>
        <v>18-25</v>
      </c>
    </row>
    <row r="3" spans="1:6">
      <c r="A3">
        <v>2</v>
      </c>
      <c r="B3" t="s">
        <v>6</v>
      </c>
      <c r="C3">
        <v>21</v>
      </c>
      <c r="D3">
        <v>15</v>
      </c>
      <c r="E3">
        <v>81</v>
      </c>
      <c r="F3" s="1" t="str">
        <f t="shared" si="0"/>
        <v>18-25</v>
      </c>
    </row>
    <row r="4" spans="1:6">
      <c r="A4">
        <v>3</v>
      </c>
      <c r="B4" t="s">
        <v>7</v>
      </c>
      <c r="C4">
        <v>20</v>
      </c>
      <c r="D4">
        <v>16</v>
      </c>
      <c r="E4">
        <v>6</v>
      </c>
      <c r="F4" s="1" t="str">
        <f t="shared" si="0"/>
        <v>18-25</v>
      </c>
    </row>
    <row r="5" spans="1:6">
      <c r="A5">
        <v>4</v>
      </c>
      <c r="B5" t="s">
        <v>7</v>
      </c>
      <c r="C5">
        <v>23</v>
      </c>
      <c r="D5">
        <v>16</v>
      </c>
      <c r="E5">
        <v>77</v>
      </c>
      <c r="F5" s="1" t="str">
        <f t="shared" si="0"/>
        <v>18-25</v>
      </c>
    </row>
    <row r="6" spans="1:6">
      <c r="A6">
        <v>5</v>
      </c>
      <c r="B6" t="s">
        <v>7</v>
      </c>
      <c r="C6">
        <v>31</v>
      </c>
      <c r="D6">
        <v>17</v>
      </c>
      <c r="E6">
        <v>40</v>
      </c>
      <c r="F6" s="1" t="str">
        <f t="shared" si="0"/>
        <v>18-25</v>
      </c>
    </row>
    <row r="7" spans="1:6">
      <c r="A7">
        <v>6</v>
      </c>
      <c r="B7" t="s">
        <v>7</v>
      </c>
      <c r="C7">
        <v>22</v>
      </c>
      <c r="D7">
        <v>17</v>
      </c>
      <c r="E7">
        <v>76</v>
      </c>
      <c r="F7" s="1" t="str">
        <f t="shared" si="0"/>
        <v>18-25</v>
      </c>
    </row>
    <row r="8" spans="1:6">
      <c r="A8">
        <v>7</v>
      </c>
      <c r="B8" t="s">
        <v>7</v>
      </c>
      <c r="C8">
        <v>35</v>
      </c>
      <c r="D8">
        <v>18</v>
      </c>
      <c r="E8">
        <v>6</v>
      </c>
      <c r="F8" s="1" t="str">
        <f t="shared" si="0"/>
        <v>18-25</v>
      </c>
    </row>
    <row r="9" spans="1:6">
      <c r="A9">
        <v>8</v>
      </c>
      <c r="B9" t="s">
        <v>7</v>
      </c>
      <c r="C9">
        <v>23</v>
      </c>
      <c r="D9">
        <v>18</v>
      </c>
      <c r="E9">
        <v>94</v>
      </c>
      <c r="F9" s="1" t="str">
        <f t="shared" si="0"/>
        <v>18-25</v>
      </c>
    </row>
    <row r="10" spans="1:6">
      <c r="A10">
        <v>9</v>
      </c>
      <c r="B10" t="s">
        <v>6</v>
      </c>
      <c r="C10">
        <v>64</v>
      </c>
      <c r="D10">
        <v>19</v>
      </c>
      <c r="E10">
        <v>3</v>
      </c>
      <c r="F10" s="1" t="str">
        <f t="shared" si="0"/>
        <v>18-25</v>
      </c>
    </row>
    <row r="11" spans="1:6">
      <c r="A11">
        <v>10</v>
      </c>
      <c r="B11" t="s">
        <v>7</v>
      </c>
      <c r="C11">
        <v>30</v>
      </c>
      <c r="D11">
        <v>19</v>
      </c>
      <c r="E11">
        <v>72</v>
      </c>
      <c r="F11" s="1" t="str">
        <f t="shared" si="0"/>
        <v>18-25</v>
      </c>
    </row>
    <row r="12" spans="1:6">
      <c r="A12">
        <v>11</v>
      </c>
      <c r="B12" t="s">
        <v>6</v>
      </c>
      <c r="C12">
        <v>67</v>
      </c>
      <c r="D12">
        <v>19</v>
      </c>
      <c r="E12">
        <v>14</v>
      </c>
      <c r="F12" s="1" t="str">
        <f t="shared" si="0"/>
        <v>18-25</v>
      </c>
    </row>
    <row r="13" spans="1:6">
      <c r="A13">
        <v>12</v>
      </c>
      <c r="B13" t="s">
        <v>7</v>
      </c>
      <c r="C13">
        <v>35</v>
      </c>
      <c r="D13">
        <v>19</v>
      </c>
      <c r="E13">
        <v>99</v>
      </c>
      <c r="F13" s="1" t="str">
        <f t="shared" si="0"/>
        <v>18-25</v>
      </c>
    </row>
    <row r="14" spans="1:6">
      <c r="A14">
        <v>13</v>
      </c>
      <c r="B14" t="s">
        <v>7</v>
      </c>
      <c r="C14">
        <v>58</v>
      </c>
      <c r="D14">
        <v>20</v>
      </c>
      <c r="E14">
        <v>15</v>
      </c>
      <c r="F14" s="1" t="str">
        <f t="shared" si="0"/>
        <v>18-25</v>
      </c>
    </row>
    <row r="15" spans="1:6">
      <c r="A15">
        <v>14</v>
      </c>
      <c r="B15" t="s">
        <v>7</v>
      </c>
      <c r="C15">
        <v>24</v>
      </c>
      <c r="D15">
        <v>20</v>
      </c>
      <c r="E15">
        <v>77</v>
      </c>
      <c r="F15" s="1" t="str">
        <f t="shared" si="0"/>
        <v>18-25</v>
      </c>
    </row>
    <row r="16" spans="1:6">
      <c r="A16">
        <v>15</v>
      </c>
      <c r="B16" t="s">
        <v>6</v>
      </c>
      <c r="C16">
        <v>37</v>
      </c>
      <c r="D16">
        <v>20</v>
      </c>
      <c r="E16">
        <v>13</v>
      </c>
      <c r="F16" s="1" t="str">
        <f t="shared" si="0"/>
        <v>18-25</v>
      </c>
    </row>
    <row r="17" spans="1:6">
      <c r="A17">
        <v>16</v>
      </c>
      <c r="B17" t="s">
        <v>6</v>
      </c>
      <c r="C17">
        <v>22</v>
      </c>
      <c r="D17">
        <v>20</v>
      </c>
      <c r="E17">
        <v>79</v>
      </c>
      <c r="F17" s="1" t="str">
        <f t="shared" si="0"/>
        <v>18-25</v>
      </c>
    </row>
    <row r="18" spans="1:6">
      <c r="A18">
        <v>17</v>
      </c>
      <c r="B18" t="s">
        <v>7</v>
      </c>
      <c r="C18">
        <v>35</v>
      </c>
      <c r="D18">
        <v>21</v>
      </c>
      <c r="E18">
        <v>35</v>
      </c>
      <c r="F18" s="1" t="str">
        <f t="shared" si="0"/>
        <v>18-25</v>
      </c>
    </row>
    <row r="19" spans="1:6">
      <c r="A19">
        <v>18</v>
      </c>
      <c r="B19" t="s">
        <v>6</v>
      </c>
      <c r="C19">
        <v>20</v>
      </c>
      <c r="D19">
        <v>21</v>
      </c>
      <c r="E19">
        <v>66</v>
      </c>
      <c r="F19" s="1" t="str">
        <f t="shared" si="0"/>
        <v>18-25</v>
      </c>
    </row>
    <row r="20" spans="1:6">
      <c r="A20">
        <v>19</v>
      </c>
      <c r="B20" t="s">
        <v>6</v>
      </c>
      <c r="C20">
        <v>52</v>
      </c>
      <c r="D20">
        <v>23</v>
      </c>
      <c r="E20">
        <v>29</v>
      </c>
      <c r="F20" s="1" t="str">
        <f t="shared" si="0"/>
        <v>18-25</v>
      </c>
    </row>
    <row r="21" spans="1:6">
      <c r="A21">
        <v>20</v>
      </c>
      <c r="B21" t="s">
        <v>7</v>
      </c>
      <c r="C21">
        <v>35</v>
      </c>
      <c r="D21">
        <v>23</v>
      </c>
      <c r="E21">
        <v>98</v>
      </c>
      <c r="F21" s="1" t="str">
        <f t="shared" si="0"/>
        <v>18-25</v>
      </c>
    </row>
    <row r="22" spans="1:6">
      <c r="A22">
        <v>21</v>
      </c>
      <c r="B22" t="s">
        <v>6</v>
      </c>
      <c r="C22">
        <v>35</v>
      </c>
      <c r="D22">
        <v>24</v>
      </c>
      <c r="E22">
        <v>35</v>
      </c>
      <c r="F22" s="1" t="str">
        <f t="shared" si="0"/>
        <v>18-25</v>
      </c>
    </row>
    <row r="23" spans="1:6">
      <c r="A23">
        <v>22</v>
      </c>
      <c r="B23" t="s">
        <v>6</v>
      </c>
      <c r="C23">
        <v>25</v>
      </c>
      <c r="D23">
        <v>24</v>
      </c>
      <c r="E23">
        <v>73</v>
      </c>
      <c r="F23" s="1" t="str">
        <f t="shared" si="0"/>
        <v>18-25</v>
      </c>
    </row>
    <row r="24" spans="1:6">
      <c r="A24">
        <v>23</v>
      </c>
      <c r="B24" t="s">
        <v>7</v>
      </c>
      <c r="C24">
        <v>46</v>
      </c>
      <c r="D24">
        <v>25</v>
      </c>
      <c r="E24">
        <v>5</v>
      </c>
      <c r="F24" s="1" t="str">
        <f t="shared" si="0"/>
        <v>18-25</v>
      </c>
    </row>
    <row r="25" spans="1:6">
      <c r="A25">
        <v>24</v>
      </c>
      <c r="B25" t="s">
        <v>6</v>
      </c>
      <c r="C25">
        <v>31</v>
      </c>
      <c r="D25">
        <v>25</v>
      </c>
      <c r="E25">
        <v>73</v>
      </c>
      <c r="F25" s="1" t="str">
        <f t="shared" si="0"/>
        <v>18-25</v>
      </c>
    </row>
    <row r="26" spans="1:6">
      <c r="A26">
        <v>25</v>
      </c>
      <c r="B26" t="s">
        <v>7</v>
      </c>
      <c r="C26">
        <v>54</v>
      </c>
      <c r="D26">
        <v>28</v>
      </c>
      <c r="E26">
        <v>14</v>
      </c>
      <c r="F26" s="1" t="str">
        <f t="shared" si="0"/>
        <v>26-35</v>
      </c>
    </row>
    <row r="27" spans="1:6">
      <c r="A27">
        <v>26</v>
      </c>
      <c r="B27" t="s">
        <v>6</v>
      </c>
      <c r="C27">
        <v>29</v>
      </c>
      <c r="D27">
        <v>28</v>
      </c>
      <c r="E27">
        <v>82</v>
      </c>
      <c r="F27" s="1" t="str">
        <f t="shared" si="0"/>
        <v>26-35</v>
      </c>
    </row>
    <row r="28" spans="1:6">
      <c r="A28">
        <v>27</v>
      </c>
      <c r="B28" t="s">
        <v>7</v>
      </c>
      <c r="C28">
        <v>45</v>
      </c>
      <c r="D28">
        <v>28</v>
      </c>
      <c r="E28">
        <v>32</v>
      </c>
      <c r="F28" s="1" t="str">
        <f t="shared" si="0"/>
        <v>26-35</v>
      </c>
    </row>
    <row r="29" spans="1:6">
      <c r="A29">
        <v>28</v>
      </c>
      <c r="B29" t="s">
        <v>6</v>
      </c>
      <c r="C29">
        <v>35</v>
      </c>
      <c r="D29">
        <v>28</v>
      </c>
      <c r="E29">
        <v>61</v>
      </c>
      <c r="F29" s="1" t="str">
        <f t="shared" si="0"/>
        <v>26-35</v>
      </c>
    </row>
    <row r="30" spans="1:6">
      <c r="A30">
        <v>29</v>
      </c>
      <c r="B30" t="s">
        <v>7</v>
      </c>
      <c r="C30">
        <v>40</v>
      </c>
      <c r="D30">
        <v>29</v>
      </c>
      <c r="E30">
        <v>31</v>
      </c>
      <c r="F30" s="1" t="str">
        <f t="shared" si="0"/>
        <v>26-35</v>
      </c>
    </row>
    <row r="31" spans="1:6">
      <c r="A31">
        <v>30</v>
      </c>
      <c r="B31" t="s">
        <v>7</v>
      </c>
      <c r="C31">
        <v>23</v>
      </c>
      <c r="D31">
        <v>29</v>
      </c>
      <c r="E31">
        <v>87</v>
      </c>
      <c r="F31" s="1" t="str">
        <f t="shared" si="0"/>
        <v>26-35</v>
      </c>
    </row>
    <row r="32" spans="1:6">
      <c r="A32">
        <v>31</v>
      </c>
      <c r="B32" t="s">
        <v>6</v>
      </c>
      <c r="C32">
        <v>60</v>
      </c>
      <c r="D32">
        <v>30</v>
      </c>
      <c r="E32">
        <v>4</v>
      </c>
      <c r="F32" s="1" t="str">
        <f t="shared" si="0"/>
        <v>26-35</v>
      </c>
    </row>
    <row r="33" spans="1:6">
      <c r="A33">
        <v>32</v>
      </c>
      <c r="B33" t="s">
        <v>7</v>
      </c>
      <c r="C33">
        <v>21</v>
      </c>
      <c r="D33">
        <v>30</v>
      </c>
      <c r="E33">
        <v>73</v>
      </c>
      <c r="F33" s="1" t="str">
        <f t="shared" si="0"/>
        <v>26-35</v>
      </c>
    </row>
    <row r="34" spans="1:6">
      <c r="A34">
        <v>33</v>
      </c>
      <c r="B34" t="s">
        <v>6</v>
      </c>
      <c r="C34">
        <v>53</v>
      </c>
      <c r="D34">
        <v>33</v>
      </c>
      <c r="E34">
        <v>4</v>
      </c>
      <c r="F34" s="1" t="str">
        <f t="shared" ref="F34:F65" si="1">IF(D34&lt;=25,"18-25",IF(D34&lt;=35,"26-35",IF(D34&lt;=45,"36-45",IF(D34&lt;=55,"46-55","55+"))))</f>
        <v>26-35</v>
      </c>
    </row>
    <row r="35" spans="1:6">
      <c r="A35">
        <v>34</v>
      </c>
      <c r="B35" t="s">
        <v>6</v>
      </c>
      <c r="C35">
        <v>18</v>
      </c>
      <c r="D35">
        <v>33</v>
      </c>
      <c r="E35">
        <v>92</v>
      </c>
      <c r="F35" s="1" t="str">
        <f t="shared" si="1"/>
        <v>26-35</v>
      </c>
    </row>
    <row r="36" spans="1:6">
      <c r="A36">
        <v>35</v>
      </c>
      <c r="B36" t="s">
        <v>7</v>
      </c>
      <c r="C36">
        <v>49</v>
      </c>
      <c r="D36">
        <v>33</v>
      </c>
      <c r="E36">
        <v>14</v>
      </c>
      <c r="F36" s="1" t="str">
        <f t="shared" si="1"/>
        <v>26-35</v>
      </c>
    </row>
    <row r="37" spans="1:6">
      <c r="A37">
        <v>36</v>
      </c>
      <c r="B37" t="s">
        <v>7</v>
      </c>
      <c r="C37">
        <v>21</v>
      </c>
      <c r="D37">
        <v>33</v>
      </c>
      <c r="E37">
        <v>81</v>
      </c>
      <c r="F37" s="1" t="str">
        <f t="shared" si="1"/>
        <v>26-35</v>
      </c>
    </row>
    <row r="38" spans="1:6">
      <c r="A38">
        <v>37</v>
      </c>
      <c r="B38" t="s">
        <v>7</v>
      </c>
      <c r="C38">
        <v>42</v>
      </c>
      <c r="D38">
        <v>34</v>
      </c>
      <c r="E38">
        <v>17</v>
      </c>
      <c r="F38" s="1" t="str">
        <f t="shared" si="1"/>
        <v>26-35</v>
      </c>
    </row>
    <row r="39" spans="1:6">
      <c r="A39">
        <v>38</v>
      </c>
      <c r="B39" t="s">
        <v>7</v>
      </c>
      <c r="C39">
        <v>30</v>
      </c>
      <c r="D39">
        <v>34</v>
      </c>
      <c r="E39">
        <v>73</v>
      </c>
      <c r="F39" s="1" t="str">
        <f t="shared" si="1"/>
        <v>26-35</v>
      </c>
    </row>
    <row r="40" spans="1:6">
      <c r="A40">
        <v>39</v>
      </c>
      <c r="B40" t="s">
        <v>7</v>
      </c>
      <c r="C40">
        <v>36</v>
      </c>
      <c r="D40">
        <v>37</v>
      </c>
      <c r="E40">
        <v>26</v>
      </c>
      <c r="F40" s="1" t="str">
        <f t="shared" si="1"/>
        <v>36-45</v>
      </c>
    </row>
    <row r="41" spans="1:6">
      <c r="A41">
        <v>40</v>
      </c>
      <c r="B41" t="s">
        <v>7</v>
      </c>
      <c r="C41">
        <v>20</v>
      </c>
      <c r="D41">
        <v>37</v>
      </c>
      <c r="E41">
        <v>75</v>
      </c>
      <c r="F41" s="1" t="str">
        <f t="shared" si="1"/>
        <v>36-45</v>
      </c>
    </row>
    <row r="42" spans="1:6">
      <c r="A42">
        <v>41</v>
      </c>
      <c r="B42" t="s">
        <v>7</v>
      </c>
      <c r="C42">
        <v>65</v>
      </c>
      <c r="D42">
        <v>38</v>
      </c>
      <c r="E42">
        <v>35</v>
      </c>
      <c r="F42" s="1" t="str">
        <f t="shared" si="1"/>
        <v>36-45</v>
      </c>
    </row>
    <row r="43" spans="1:6">
      <c r="A43">
        <v>42</v>
      </c>
      <c r="B43" t="s">
        <v>6</v>
      </c>
      <c r="C43">
        <v>24</v>
      </c>
      <c r="D43">
        <v>38</v>
      </c>
      <c r="E43">
        <v>92</v>
      </c>
      <c r="F43" s="1" t="str">
        <f t="shared" si="1"/>
        <v>36-45</v>
      </c>
    </row>
    <row r="44" spans="1:6">
      <c r="A44">
        <v>43</v>
      </c>
      <c r="B44" t="s">
        <v>6</v>
      </c>
      <c r="C44">
        <v>48</v>
      </c>
      <c r="D44">
        <v>39</v>
      </c>
      <c r="E44">
        <v>36</v>
      </c>
      <c r="F44" s="1" t="str">
        <f t="shared" si="1"/>
        <v>36-45</v>
      </c>
    </row>
    <row r="45" spans="1:6">
      <c r="A45">
        <v>44</v>
      </c>
      <c r="B45" t="s">
        <v>7</v>
      </c>
      <c r="C45">
        <v>31</v>
      </c>
      <c r="D45">
        <v>39</v>
      </c>
      <c r="E45">
        <v>61</v>
      </c>
      <c r="F45" s="1" t="str">
        <f t="shared" si="1"/>
        <v>36-45</v>
      </c>
    </row>
    <row r="46" spans="1:6">
      <c r="A46">
        <v>45</v>
      </c>
      <c r="B46" t="s">
        <v>7</v>
      </c>
      <c r="C46">
        <v>49</v>
      </c>
      <c r="D46">
        <v>39</v>
      </c>
      <c r="E46">
        <v>28</v>
      </c>
      <c r="F46" s="1" t="str">
        <f t="shared" si="1"/>
        <v>36-45</v>
      </c>
    </row>
    <row r="47" spans="1:6">
      <c r="A47">
        <v>46</v>
      </c>
      <c r="B47" t="s">
        <v>7</v>
      </c>
      <c r="C47">
        <v>24</v>
      </c>
      <c r="D47">
        <v>39</v>
      </c>
      <c r="E47">
        <v>65</v>
      </c>
      <c r="F47" s="1" t="str">
        <f t="shared" si="1"/>
        <v>36-45</v>
      </c>
    </row>
    <row r="48" spans="1:6">
      <c r="A48">
        <v>47</v>
      </c>
      <c r="B48" t="s">
        <v>7</v>
      </c>
      <c r="C48">
        <v>50</v>
      </c>
      <c r="D48">
        <v>40</v>
      </c>
      <c r="E48">
        <v>55</v>
      </c>
      <c r="F48" s="1" t="str">
        <f t="shared" si="1"/>
        <v>36-45</v>
      </c>
    </row>
    <row r="49" spans="1:6">
      <c r="A49">
        <v>48</v>
      </c>
      <c r="B49" t="s">
        <v>7</v>
      </c>
      <c r="C49">
        <v>27</v>
      </c>
      <c r="D49">
        <v>40</v>
      </c>
      <c r="E49">
        <v>47</v>
      </c>
      <c r="F49" s="1" t="str">
        <f t="shared" si="1"/>
        <v>36-45</v>
      </c>
    </row>
    <row r="50" spans="1:6">
      <c r="A50">
        <v>49</v>
      </c>
      <c r="B50" t="s">
        <v>7</v>
      </c>
      <c r="C50">
        <v>29</v>
      </c>
      <c r="D50">
        <v>40</v>
      </c>
      <c r="E50">
        <v>42</v>
      </c>
      <c r="F50" s="1" t="str">
        <f t="shared" si="1"/>
        <v>36-45</v>
      </c>
    </row>
    <row r="51" spans="1:6">
      <c r="A51">
        <v>50</v>
      </c>
      <c r="B51" t="s">
        <v>7</v>
      </c>
      <c r="C51">
        <v>31</v>
      </c>
      <c r="D51">
        <v>40</v>
      </c>
      <c r="E51">
        <v>42</v>
      </c>
      <c r="F51" s="1" t="str">
        <f t="shared" si="1"/>
        <v>36-45</v>
      </c>
    </row>
    <row r="52" spans="1:6">
      <c r="A52">
        <v>51</v>
      </c>
      <c r="B52" t="s">
        <v>7</v>
      </c>
      <c r="C52">
        <v>49</v>
      </c>
      <c r="D52">
        <v>42</v>
      </c>
      <c r="E52">
        <v>52</v>
      </c>
      <c r="F52" s="1" t="str">
        <f t="shared" si="1"/>
        <v>36-45</v>
      </c>
    </row>
    <row r="53" spans="1:6">
      <c r="A53">
        <v>52</v>
      </c>
      <c r="B53" t="s">
        <v>6</v>
      </c>
      <c r="C53">
        <v>33</v>
      </c>
      <c r="D53">
        <v>42</v>
      </c>
      <c r="E53">
        <v>60</v>
      </c>
      <c r="F53" s="1" t="str">
        <f t="shared" si="1"/>
        <v>36-45</v>
      </c>
    </row>
    <row r="54" spans="1:6">
      <c r="A54">
        <v>53</v>
      </c>
      <c r="B54" t="s">
        <v>7</v>
      </c>
      <c r="C54">
        <v>31</v>
      </c>
      <c r="D54">
        <v>43</v>
      </c>
      <c r="E54">
        <v>54</v>
      </c>
      <c r="F54" s="1" t="str">
        <f t="shared" si="1"/>
        <v>36-45</v>
      </c>
    </row>
    <row r="55" spans="1:6">
      <c r="A55">
        <v>54</v>
      </c>
      <c r="B55" t="s">
        <v>6</v>
      </c>
      <c r="C55">
        <v>59</v>
      </c>
      <c r="D55">
        <v>43</v>
      </c>
      <c r="E55">
        <v>60</v>
      </c>
      <c r="F55" s="1" t="str">
        <f t="shared" si="1"/>
        <v>36-45</v>
      </c>
    </row>
    <row r="56" spans="1:6">
      <c r="A56">
        <v>55</v>
      </c>
      <c r="B56" t="s">
        <v>7</v>
      </c>
      <c r="C56">
        <v>50</v>
      </c>
      <c r="D56">
        <v>43</v>
      </c>
      <c r="E56">
        <v>45</v>
      </c>
      <c r="F56" s="1" t="str">
        <f t="shared" si="1"/>
        <v>36-45</v>
      </c>
    </row>
    <row r="57" spans="1:6">
      <c r="A57">
        <v>56</v>
      </c>
      <c r="B57" t="s">
        <v>6</v>
      </c>
      <c r="C57">
        <v>47</v>
      </c>
      <c r="D57">
        <v>43</v>
      </c>
      <c r="E57">
        <v>41</v>
      </c>
      <c r="F57" s="1" t="str">
        <f t="shared" si="1"/>
        <v>36-45</v>
      </c>
    </row>
    <row r="58" spans="1:6">
      <c r="A58">
        <v>57</v>
      </c>
      <c r="B58" t="s">
        <v>7</v>
      </c>
      <c r="C58">
        <v>51</v>
      </c>
      <c r="D58">
        <v>44</v>
      </c>
      <c r="E58">
        <v>50</v>
      </c>
      <c r="F58" s="1" t="str">
        <f t="shared" si="1"/>
        <v>36-45</v>
      </c>
    </row>
    <row r="59" spans="1:6">
      <c r="A59">
        <v>58</v>
      </c>
      <c r="B59" t="s">
        <v>6</v>
      </c>
      <c r="C59">
        <v>69</v>
      </c>
      <c r="D59">
        <v>44</v>
      </c>
      <c r="E59">
        <v>46</v>
      </c>
      <c r="F59" s="1" t="str">
        <f t="shared" si="1"/>
        <v>36-45</v>
      </c>
    </row>
    <row r="60" spans="1:6">
      <c r="A60">
        <v>59</v>
      </c>
      <c r="B60" t="s">
        <v>7</v>
      </c>
      <c r="C60">
        <v>27</v>
      </c>
      <c r="D60">
        <v>46</v>
      </c>
      <c r="E60">
        <v>51</v>
      </c>
      <c r="F60" s="1" t="str">
        <f t="shared" si="1"/>
        <v>46-55</v>
      </c>
    </row>
    <row r="61" spans="1:6">
      <c r="A61">
        <v>60</v>
      </c>
      <c r="B61" t="s">
        <v>6</v>
      </c>
      <c r="C61">
        <v>53</v>
      </c>
      <c r="D61">
        <v>46</v>
      </c>
      <c r="E61">
        <v>46</v>
      </c>
      <c r="F61" s="1" t="str">
        <f t="shared" si="1"/>
        <v>46-55</v>
      </c>
    </row>
    <row r="62" spans="1:6">
      <c r="A62">
        <v>61</v>
      </c>
      <c r="B62" t="s">
        <v>6</v>
      </c>
      <c r="C62">
        <v>70</v>
      </c>
      <c r="D62">
        <v>46</v>
      </c>
      <c r="E62">
        <v>56</v>
      </c>
      <c r="F62" s="1" t="str">
        <f t="shared" si="1"/>
        <v>46-55</v>
      </c>
    </row>
    <row r="63" spans="1:6">
      <c r="A63">
        <v>62</v>
      </c>
      <c r="B63" t="s">
        <v>6</v>
      </c>
      <c r="C63">
        <v>19</v>
      </c>
      <c r="D63">
        <v>46</v>
      </c>
      <c r="E63">
        <v>55</v>
      </c>
      <c r="F63" s="1" t="str">
        <f t="shared" si="1"/>
        <v>46-55</v>
      </c>
    </row>
    <row r="64" spans="1:6">
      <c r="A64">
        <v>63</v>
      </c>
      <c r="B64" t="s">
        <v>7</v>
      </c>
      <c r="C64">
        <v>67</v>
      </c>
      <c r="D64">
        <v>47</v>
      </c>
      <c r="E64">
        <v>52</v>
      </c>
      <c r="F64" s="1" t="str">
        <f t="shared" si="1"/>
        <v>46-55</v>
      </c>
    </row>
    <row r="65" spans="1:6">
      <c r="A65">
        <v>64</v>
      </c>
      <c r="B65" t="s">
        <v>7</v>
      </c>
      <c r="C65">
        <v>54</v>
      </c>
      <c r="D65">
        <v>47</v>
      </c>
      <c r="E65">
        <v>59</v>
      </c>
      <c r="F65" s="1" t="str">
        <f t="shared" si="1"/>
        <v>46-55</v>
      </c>
    </row>
    <row r="66" spans="1:6">
      <c r="A66">
        <v>65</v>
      </c>
      <c r="B66" t="s">
        <v>6</v>
      </c>
      <c r="C66">
        <v>63</v>
      </c>
      <c r="D66">
        <v>48</v>
      </c>
      <c r="E66">
        <v>51</v>
      </c>
      <c r="F66" s="1" t="str">
        <f t="shared" ref="F66:F97" si="2">IF(D66&lt;=25,"18-25",IF(D66&lt;=35,"26-35",IF(D66&lt;=45,"36-45",IF(D66&lt;=55,"46-55","55+"))))</f>
        <v>46-55</v>
      </c>
    </row>
    <row r="67" spans="1:6">
      <c r="A67">
        <v>66</v>
      </c>
      <c r="B67" t="s">
        <v>6</v>
      </c>
      <c r="C67">
        <v>18</v>
      </c>
      <c r="D67">
        <v>48</v>
      </c>
      <c r="E67">
        <v>59</v>
      </c>
      <c r="F67" s="1" t="str">
        <f t="shared" si="2"/>
        <v>46-55</v>
      </c>
    </row>
    <row r="68" spans="1:6">
      <c r="A68">
        <v>67</v>
      </c>
      <c r="B68" t="s">
        <v>7</v>
      </c>
      <c r="C68">
        <v>43</v>
      </c>
      <c r="D68">
        <v>48</v>
      </c>
      <c r="E68">
        <v>50</v>
      </c>
      <c r="F68" s="1" t="str">
        <f t="shared" si="2"/>
        <v>46-55</v>
      </c>
    </row>
    <row r="69" spans="1:6">
      <c r="A69">
        <v>68</v>
      </c>
      <c r="B69" t="s">
        <v>7</v>
      </c>
      <c r="C69">
        <v>68</v>
      </c>
      <c r="D69">
        <v>48</v>
      </c>
      <c r="E69">
        <v>48</v>
      </c>
      <c r="F69" s="1" t="str">
        <f t="shared" si="2"/>
        <v>46-55</v>
      </c>
    </row>
    <row r="70" spans="1:6">
      <c r="A70">
        <v>69</v>
      </c>
      <c r="B70" t="s">
        <v>6</v>
      </c>
      <c r="C70">
        <v>19</v>
      </c>
      <c r="D70">
        <v>48</v>
      </c>
      <c r="E70">
        <v>59</v>
      </c>
      <c r="F70" s="1" t="str">
        <f t="shared" si="2"/>
        <v>46-55</v>
      </c>
    </row>
    <row r="71" spans="1:6">
      <c r="A71">
        <v>70</v>
      </c>
      <c r="B71" t="s">
        <v>7</v>
      </c>
      <c r="C71">
        <v>32</v>
      </c>
      <c r="D71">
        <v>48</v>
      </c>
      <c r="E71">
        <v>47</v>
      </c>
      <c r="F71" s="1" t="str">
        <f t="shared" si="2"/>
        <v>46-55</v>
      </c>
    </row>
    <row r="72" spans="1:6">
      <c r="A72">
        <v>71</v>
      </c>
      <c r="B72" t="s">
        <v>6</v>
      </c>
      <c r="C72">
        <v>70</v>
      </c>
      <c r="D72">
        <v>49</v>
      </c>
      <c r="E72">
        <v>55</v>
      </c>
      <c r="F72" s="1" t="str">
        <f t="shared" si="2"/>
        <v>46-55</v>
      </c>
    </row>
    <row r="73" spans="1:6">
      <c r="A73">
        <v>72</v>
      </c>
      <c r="B73" t="s">
        <v>7</v>
      </c>
      <c r="C73">
        <v>47</v>
      </c>
      <c r="D73">
        <v>49</v>
      </c>
      <c r="E73">
        <v>42</v>
      </c>
      <c r="F73" s="1" t="str">
        <f t="shared" si="2"/>
        <v>46-55</v>
      </c>
    </row>
    <row r="74" spans="1:6">
      <c r="A74">
        <v>73</v>
      </c>
      <c r="B74" t="s">
        <v>7</v>
      </c>
      <c r="C74">
        <v>60</v>
      </c>
      <c r="D74">
        <v>50</v>
      </c>
      <c r="E74">
        <v>49</v>
      </c>
      <c r="F74" s="1" t="str">
        <f t="shared" si="2"/>
        <v>46-55</v>
      </c>
    </row>
    <row r="75" spans="1:6">
      <c r="A75">
        <v>74</v>
      </c>
      <c r="B75" t="s">
        <v>7</v>
      </c>
      <c r="C75">
        <v>60</v>
      </c>
      <c r="D75">
        <v>50</v>
      </c>
      <c r="E75">
        <v>56</v>
      </c>
      <c r="F75" s="1" t="str">
        <f t="shared" si="2"/>
        <v>46-55</v>
      </c>
    </row>
    <row r="76" spans="1:6">
      <c r="A76">
        <v>75</v>
      </c>
      <c r="B76" t="s">
        <v>6</v>
      </c>
      <c r="C76">
        <v>59</v>
      </c>
      <c r="D76">
        <v>54</v>
      </c>
      <c r="E76">
        <v>47</v>
      </c>
      <c r="F76" s="1" t="str">
        <f t="shared" si="2"/>
        <v>46-55</v>
      </c>
    </row>
    <row r="77" spans="1:6">
      <c r="A77">
        <v>76</v>
      </c>
      <c r="B77" t="s">
        <v>6</v>
      </c>
      <c r="C77">
        <v>26</v>
      </c>
      <c r="D77">
        <v>54</v>
      </c>
      <c r="E77">
        <v>54</v>
      </c>
      <c r="F77" s="1" t="str">
        <f t="shared" si="2"/>
        <v>46-55</v>
      </c>
    </row>
    <row r="78" spans="1:6">
      <c r="A78">
        <v>77</v>
      </c>
      <c r="B78" t="s">
        <v>7</v>
      </c>
      <c r="C78">
        <v>45</v>
      </c>
      <c r="D78">
        <v>54</v>
      </c>
      <c r="E78">
        <v>53</v>
      </c>
      <c r="F78" s="1" t="str">
        <f t="shared" si="2"/>
        <v>46-55</v>
      </c>
    </row>
    <row r="79" spans="1:6">
      <c r="A79">
        <v>78</v>
      </c>
      <c r="B79" t="s">
        <v>6</v>
      </c>
      <c r="C79">
        <v>40</v>
      </c>
      <c r="D79">
        <v>54</v>
      </c>
      <c r="E79">
        <v>48</v>
      </c>
      <c r="F79" s="1" t="str">
        <f t="shared" si="2"/>
        <v>46-55</v>
      </c>
    </row>
    <row r="80" spans="1:6">
      <c r="A80">
        <v>79</v>
      </c>
      <c r="B80" t="s">
        <v>7</v>
      </c>
      <c r="C80">
        <v>23</v>
      </c>
      <c r="D80">
        <v>54</v>
      </c>
      <c r="E80">
        <v>52</v>
      </c>
      <c r="F80" s="1" t="str">
        <f t="shared" si="2"/>
        <v>46-55</v>
      </c>
    </row>
    <row r="81" spans="1:6">
      <c r="A81">
        <v>80</v>
      </c>
      <c r="B81" t="s">
        <v>7</v>
      </c>
      <c r="C81">
        <v>49</v>
      </c>
      <c r="D81">
        <v>54</v>
      </c>
      <c r="E81">
        <v>42</v>
      </c>
      <c r="F81" s="1" t="str">
        <f t="shared" si="2"/>
        <v>46-55</v>
      </c>
    </row>
    <row r="82" spans="1:6">
      <c r="A82">
        <v>81</v>
      </c>
      <c r="B82" t="s">
        <v>6</v>
      </c>
      <c r="C82">
        <v>57</v>
      </c>
      <c r="D82">
        <v>54</v>
      </c>
      <c r="E82">
        <v>51</v>
      </c>
      <c r="F82" s="1" t="str">
        <f t="shared" si="2"/>
        <v>46-55</v>
      </c>
    </row>
    <row r="83" spans="1:6">
      <c r="A83">
        <v>82</v>
      </c>
      <c r="B83" t="s">
        <v>6</v>
      </c>
      <c r="C83">
        <v>38</v>
      </c>
      <c r="D83">
        <v>54</v>
      </c>
      <c r="E83">
        <v>55</v>
      </c>
      <c r="F83" s="1" t="str">
        <f t="shared" si="2"/>
        <v>46-55</v>
      </c>
    </row>
    <row r="84" spans="1:6">
      <c r="A84">
        <v>83</v>
      </c>
      <c r="B84" t="s">
        <v>6</v>
      </c>
      <c r="C84">
        <v>67</v>
      </c>
      <c r="D84">
        <v>54</v>
      </c>
      <c r="E84">
        <v>41</v>
      </c>
      <c r="F84" s="1" t="str">
        <f t="shared" si="2"/>
        <v>46-55</v>
      </c>
    </row>
    <row r="85" spans="1:6">
      <c r="A85">
        <v>84</v>
      </c>
      <c r="B85" t="s">
        <v>7</v>
      </c>
      <c r="C85">
        <v>46</v>
      </c>
      <c r="D85">
        <v>54</v>
      </c>
      <c r="E85">
        <v>44</v>
      </c>
      <c r="F85" s="1" t="str">
        <f t="shared" si="2"/>
        <v>46-55</v>
      </c>
    </row>
    <row r="86" spans="1:6">
      <c r="A86">
        <v>85</v>
      </c>
      <c r="B86" t="s">
        <v>7</v>
      </c>
      <c r="C86">
        <v>21</v>
      </c>
      <c r="D86">
        <v>54</v>
      </c>
      <c r="E86">
        <v>57</v>
      </c>
      <c r="F86" s="1" t="str">
        <f t="shared" si="2"/>
        <v>46-55</v>
      </c>
    </row>
    <row r="87" spans="1:6">
      <c r="A87">
        <v>86</v>
      </c>
      <c r="B87" t="s">
        <v>6</v>
      </c>
      <c r="C87">
        <v>48</v>
      </c>
      <c r="D87">
        <v>54</v>
      </c>
      <c r="E87">
        <v>46</v>
      </c>
      <c r="F87" s="1" t="str">
        <f t="shared" si="2"/>
        <v>46-55</v>
      </c>
    </row>
    <row r="88" spans="1:6">
      <c r="A88">
        <v>87</v>
      </c>
      <c r="B88" t="s">
        <v>7</v>
      </c>
      <c r="C88">
        <v>55</v>
      </c>
      <c r="D88">
        <v>57</v>
      </c>
      <c r="E88">
        <v>58</v>
      </c>
      <c r="F88" s="1" t="str">
        <f t="shared" si="2"/>
        <v>55+</v>
      </c>
    </row>
    <row r="89" spans="1:6">
      <c r="A89">
        <v>88</v>
      </c>
      <c r="B89" t="s">
        <v>7</v>
      </c>
      <c r="C89">
        <v>22</v>
      </c>
      <c r="D89">
        <v>57</v>
      </c>
      <c r="E89">
        <v>55</v>
      </c>
      <c r="F89" s="1" t="str">
        <f t="shared" si="2"/>
        <v>55+</v>
      </c>
    </row>
    <row r="90" spans="1:6">
      <c r="A90">
        <v>89</v>
      </c>
      <c r="B90" t="s">
        <v>7</v>
      </c>
      <c r="C90">
        <v>34</v>
      </c>
      <c r="D90">
        <v>58</v>
      </c>
      <c r="E90">
        <v>60</v>
      </c>
      <c r="F90" s="1" t="str">
        <f t="shared" si="2"/>
        <v>55+</v>
      </c>
    </row>
    <row r="91" spans="1:6">
      <c r="A91">
        <v>90</v>
      </c>
      <c r="B91" t="s">
        <v>7</v>
      </c>
      <c r="C91">
        <v>50</v>
      </c>
      <c r="D91">
        <v>58</v>
      </c>
      <c r="E91">
        <v>46</v>
      </c>
      <c r="F91" s="1" t="str">
        <f t="shared" si="2"/>
        <v>55+</v>
      </c>
    </row>
    <row r="92" spans="1:6">
      <c r="A92">
        <v>91</v>
      </c>
      <c r="B92" t="s">
        <v>7</v>
      </c>
      <c r="C92">
        <v>68</v>
      </c>
      <c r="D92">
        <v>59</v>
      </c>
      <c r="E92">
        <v>55</v>
      </c>
      <c r="F92" s="1" t="str">
        <f t="shared" si="2"/>
        <v>55+</v>
      </c>
    </row>
    <row r="93" spans="1:6">
      <c r="A93">
        <v>92</v>
      </c>
      <c r="B93" t="s">
        <v>6</v>
      </c>
      <c r="C93">
        <v>18</v>
      </c>
      <c r="D93">
        <v>59</v>
      </c>
      <c r="E93">
        <v>41</v>
      </c>
      <c r="F93" s="1" t="str">
        <f t="shared" si="2"/>
        <v>55+</v>
      </c>
    </row>
    <row r="94" spans="1:6">
      <c r="A94">
        <v>93</v>
      </c>
      <c r="B94" t="s">
        <v>6</v>
      </c>
      <c r="C94">
        <v>48</v>
      </c>
      <c r="D94">
        <v>60</v>
      </c>
      <c r="E94">
        <v>49</v>
      </c>
      <c r="F94" s="1" t="str">
        <f t="shared" si="2"/>
        <v>55+</v>
      </c>
    </row>
    <row r="95" spans="1:6">
      <c r="A95">
        <v>94</v>
      </c>
      <c r="B95" t="s">
        <v>7</v>
      </c>
      <c r="C95">
        <v>40</v>
      </c>
      <c r="D95">
        <v>60</v>
      </c>
      <c r="E95">
        <v>40</v>
      </c>
      <c r="F95" s="1" t="str">
        <f t="shared" si="2"/>
        <v>55+</v>
      </c>
    </row>
    <row r="96" spans="1:6">
      <c r="A96">
        <v>95</v>
      </c>
      <c r="B96" t="s">
        <v>7</v>
      </c>
      <c r="C96">
        <v>32</v>
      </c>
      <c r="D96">
        <v>60</v>
      </c>
      <c r="E96">
        <v>42</v>
      </c>
      <c r="F96" s="1" t="str">
        <f t="shared" si="2"/>
        <v>55+</v>
      </c>
    </row>
    <row r="97" spans="1:6">
      <c r="A97">
        <v>96</v>
      </c>
      <c r="B97" t="s">
        <v>6</v>
      </c>
      <c r="C97">
        <v>24</v>
      </c>
      <c r="D97">
        <v>60</v>
      </c>
      <c r="E97">
        <v>52</v>
      </c>
      <c r="F97" s="1" t="str">
        <f t="shared" si="2"/>
        <v>55+</v>
      </c>
    </row>
    <row r="98" spans="1:6">
      <c r="A98">
        <v>97</v>
      </c>
      <c r="B98" t="s">
        <v>7</v>
      </c>
      <c r="C98">
        <v>47</v>
      </c>
      <c r="D98">
        <v>60</v>
      </c>
      <c r="E98">
        <v>47</v>
      </c>
      <c r="F98" s="1" t="str">
        <f t="shared" ref="F98:F129" si="3">IF(D98&lt;=25,"18-25",IF(D98&lt;=35,"26-35",IF(D98&lt;=45,"36-45",IF(D98&lt;=55,"46-55","55+"))))</f>
        <v>55+</v>
      </c>
    </row>
    <row r="99" spans="1:6">
      <c r="A99">
        <v>98</v>
      </c>
      <c r="B99" t="s">
        <v>7</v>
      </c>
      <c r="C99">
        <v>27</v>
      </c>
      <c r="D99">
        <v>60</v>
      </c>
      <c r="E99">
        <v>50</v>
      </c>
      <c r="F99" s="1" t="str">
        <f t="shared" si="3"/>
        <v>55+</v>
      </c>
    </row>
    <row r="100" spans="1:6">
      <c r="A100">
        <v>99</v>
      </c>
      <c r="B100" t="s">
        <v>6</v>
      </c>
      <c r="C100">
        <v>48</v>
      </c>
      <c r="D100">
        <v>61</v>
      </c>
      <c r="E100">
        <v>42</v>
      </c>
      <c r="F100" s="1" t="str">
        <f t="shared" si="3"/>
        <v>55+</v>
      </c>
    </row>
    <row r="101" spans="1:6">
      <c r="A101">
        <v>100</v>
      </c>
      <c r="B101" t="s">
        <v>6</v>
      </c>
      <c r="C101">
        <v>20</v>
      </c>
      <c r="D101">
        <v>61</v>
      </c>
      <c r="E101">
        <v>49</v>
      </c>
      <c r="F101" s="1" t="str">
        <f t="shared" si="3"/>
        <v>55+</v>
      </c>
    </row>
    <row r="102" spans="1:6">
      <c r="A102">
        <v>101</v>
      </c>
      <c r="B102" t="s">
        <v>7</v>
      </c>
      <c r="C102">
        <v>23</v>
      </c>
      <c r="D102">
        <v>62</v>
      </c>
      <c r="E102">
        <v>41</v>
      </c>
      <c r="F102" s="1" t="str">
        <f t="shared" si="3"/>
        <v>55+</v>
      </c>
    </row>
    <row r="103" spans="1:6">
      <c r="A103">
        <v>102</v>
      </c>
      <c r="B103" t="s">
        <v>7</v>
      </c>
      <c r="C103">
        <v>49</v>
      </c>
      <c r="D103">
        <v>62</v>
      </c>
      <c r="E103">
        <v>48</v>
      </c>
      <c r="F103" s="1" t="str">
        <f t="shared" si="3"/>
        <v>55+</v>
      </c>
    </row>
    <row r="104" spans="1:6">
      <c r="A104">
        <v>103</v>
      </c>
      <c r="B104" t="s">
        <v>6</v>
      </c>
      <c r="C104">
        <v>67</v>
      </c>
      <c r="D104">
        <v>62</v>
      </c>
      <c r="E104">
        <v>59</v>
      </c>
      <c r="F104" s="1" t="str">
        <f t="shared" si="3"/>
        <v>55+</v>
      </c>
    </row>
    <row r="105" spans="1:6">
      <c r="A105">
        <v>104</v>
      </c>
      <c r="B105" t="s">
        <v>6</v>
      </c>
      <c r="C105">
        <v>26</v>
      </c>
      <c r="D105">
        <v>62</v>
      </c>
      <c r="E105">
        <v>55</v>
      </c>
      <c r="F105" s="1" t="str">
        <f t="shared" si="3"/>
        <v>55+</v>
      </c>
    </row>
    <row r="106" spans="1:6">
      <c r="A106">
        <v>105</v>
      </c>
      <c r="B106" t="s">
        <v>6</v>
      </c>
      <c r="C106">
        <v>49</v>
      </c>
      <c r="D106">
        <v>62</v>
      </c>
      <c r="E106">
        <v>56</v>
      </c>
      <c r="F106" s="1" t="str">
        <f t="shared" si="3"/>
        <v>55+</v>
      </c>
    </row>
    <row r="107" spans="1:6">
      <c r="A107">
        <v>106</v>
      </c>
      <c r="B107" t="s">
        <v>7</v>
      </c>
      <c r="C107">
        <v>21</v>
      </c>
      <c r="D107">
        <v>62</v>
      </c>
      <c r="E107">
        <v>42</v>
      </c>
      <c r="F107" s="1" t="str">
        <f t="shared" si="3"/>
        <v>55+</v>
      </c>
    </row>
    <row r="108" spans="1:6">
      <c r="A108">
        <v>107</v>
      </c>
      <c r="B108" t="s">
        <v>7</v>
      </c>
      <c r="C108">
        <v>66</v>
      </c>
      <c r="D108">
        <v>63</v>
      </c>
      <c r="E108">
        <v>50</v>
      </c>
      <c r="F108" s="1" t="str">
        <f t="shared" si="3"/>
        <v>55+</v>
      </c>
    </row>
    <row r="109" spans="1:6">
      <c r="A109">
        <v>108</v>
      </c>
      <c r="B109" t="s">
        <v>6</v>
      </c>
      <c r="C109">
        <v>54</v>
      </c>
      <c r="D109">
        <v>63</v>
      </c>
      <c r="E109">
        <v>46</v>
      </c>
      <c r="F109" s="1" t="str">
        <f t="shared" si="3"/>
        <v>55+</v>
      </c>
    </row>
    <row r="110" spans="1:6">
      <c r="A110">
        <v>109</v>
      </c>
      <c r="B110" t="s">
        <v>6</v>
      </c>
      <c r="C110">
        <v>68</v>
      </c>
      <c r="D110">
        <v>63</v>
      </c>
      <c r="E110">
        <v>43</v>
      </c>
      <c r="F110" s="1" t="str">
        <f t="shared" si="3"/>
        <v>55+</v>
      </c>
    </row>
    <row r="111" spans="1:6">
      <c r="A111">
        <v>110</v>
      </c>
      <c r="B111" t="s">
        <v>6</v>
      </c>
      <c r="C111">
        <v>66</v>
      </c>
      <c r="D111">
        <v>63</v>
      </c>
      <c r="E111">
        <v>48</v>
      </c>
      <c r="F111" s="1" t="str">
        <f t="shared" si="3"/>
        <v>55+</v>
      </c>
    </row>
    <row r="112" spans="1:6">
      <c r="A112">
        <v>111</v>
      </c>
      <c r="B112" t="s">
        <v>6</v>
      </c>
      <c r="C112">
        <v>65</v>
      </c>
      <c r="D112">
        <v>63</v>
      </c>
      <c r="E112">
        <v>52</v>
      </c>
      <c r="F112" s="1" t="str">
        <f t="shared" si="3"/>
        <v>55+</v>
      </c>
    </row>
    <row r="113" spans="1:6">
      <c r="A113">
        <v>112</v>
      </c>
      <c r="B113" t="s">
        <v>7</v>
      </c>
      <c r="C113">
        <v>19</v>
      </c>
      <c r="D113">
        <v>63</v>
      </c>
      <c r="E113">
        <v>54</v>
      </c>
      <c r="F113" s="1" t="str">
        <f t="shared" si="3"/>
        <v>55+</v>
      </c>
    </row>
    <row r="114" spans="1:6">
      <c r="A114">
        <v>113</v>
      </c>
      <c r="B114" t="s">
        <v>7</v>
      </c>
      <c r="C114">
        <v>38</v>
      </c>
      <c r="D114">
        <v>64</v>
      </c>
      <c r="E114">
        <v>42</v>
      </c>
      <c r="F114" s="1" t="str">
        <f t="shared" si="3"/>
        <v>55+</v>
      </c>
    </row>
    <row r="115" spans="1:6">
      <c r="A115">
        <v>114</v>
      </c>
      <c r="B115" t="s">
        <v>6</v>
      </c>
      <c r="C115">
        <v>19</v>
      </c>
      <c r="D115">
        <v>64</v>
      </c>
      <c r="E115">
        <v>46</v>
      </c>
      <c r="F115" s="1" t="str">
        <f t="shared" si="3"/>
        <v>55+</v>
      </c>
    </row>
    <row r="116" spans="1:6">
      <c r="A116">
        <v>115</v>
      </c>
      <c r="B116" t="s">
        <v>7</v>
      </c>
      <c r="C116">
        <v>18</v>
      </c>
      <c r="D116">
        <v>65</v>
      </c>
      <c r="E116">
        <v>48</v>
      </c>
      <c r="F116" s="1" t="str">
        <f t="shared" si="3"/>
        <v>55+</v>
      </c>
    </row>
    <row r="117" spans="1:6">
      <c r="A117">
        <v>116</v>
      </c>
      <c r="B117" t="s">
        <v>7</v>
      </c>
      <c r="C117">
        <v>19</v>
      </c>
      <c r="D117">
        <v>65</v>
      </c>
      <c r="E117">
        <v>50</v>
      </c>
      <c r="F117" s="1" t="str">
        <f t="shared" si="3"/>
        <v>55+</v>
      </c>
    </row>
    <row r="118" spans="1:6">
      <c r="A118">
        <v>117</v>
      </c>
      <c r="B118" t="s">
        <v>7</v>
      </c>
      <c r="C118">
        <v>63</v>
      </c>
      <c r="D118">
        <v>65</v>
      </c>
      <c r="E118">
        <v>43</v>
      </c>
      <c r="F118" s="1" t="str">
        <f t="shared" si="3"/>
        <v>55+</v>
      </c>
    </row>
    <row r="119" spans="1:6">
      <c r="A119">
        <v>118</v>
      </c>
      <c r="B119" t="s">
        <v>7</v>
      </c>
      <c r="C119">
        <v>49</v>
      </c>
      <c r="D119">
        <v>65</v>
      </c>
      <c r="E119">
        <v>59</v>
      </c>
      <c r="F119" s="1" t="str">
        <f t="shared" si="3"/>
        <v>55+</v>
      </c>
    </row>
    <row r="120" spans="1:6">
      <c r="A120">
        <v>119</v>
      </c>
      <c r="B120" t="s">
        <v>7</v>
      </c>
      <c r="C120">
        <v>51</v>
      </c>
      <c r="D120">
        <v>67</v>
      </c>
      <c r="E120">
        <v>43</v>
      </c>
      <c r="F120" s="1" t="str">
        <f t="shared" si="3"/>
        <v>55+</v>
      </c>
    </row>
    <row r="121" spans="1:6">
      <c r="A121">
        <v>120</v>
      </c>
      <c r="B121" t="s">
        <v>7</v>
      </c>
      <c r="C121">
        <v>50</v>
      </c>
      <c r="D121">
        <v>67</v>
      </c>
      <c r="E121">
        <v>57</v>
      </c>
      <c r="F121" s="1" t="str">
        <f t="shared" si="3"/>
        <v>55+</v>
      </c>
    </row>
    <row r="122" spans="1:6">
      <c r="A122">
        <v>121</v>
      </c>
      <c r="B122" t="s">
        <v>6</v>
      </c>
      <c r="C122">
        <v>27</v>
      </c>
      <c r="D122">
        <v>67</v>
      </c>
      <c r="E122">
        <v>56</v>
      </c>
      <c r="F122" s="1" t="str">
        <f t="shared" si="3"/>
        <v>55+</v>
      </c>
    </row>
    <row r="123" spans="1:6">
      <c r="A123">
        <v>122</v>
      </c>
      <c r="B123" t="s">
        <v>7</v>
      </c>
      <c r="C123">
        <v>38</v>
      </c>
      <c r="D123">
        <v>67</v>
      </c>
      <c r="E123">
        <v>40</v>
      </c>
      <c r="F123" s="1" t="str">
        <f t="shared" si="3"/>
        <v>55+</v>
      </c>
    </row>
    <row r="124" spans="1:6">
      <c r="A124">
        <v>123</v>
      </c>
      <c r="B124" t="s">
        <v>7</v>
      </c>
      <c r="C124">
        <v>40</v>
      </c>
      <c r="D124">
        <v>69</v>
      </c>
      <c r="E124">
        <v>58</v>
      </c>
      <c r="F124" s="1" t="str">
        <f t="shared" si="3"/>
        <v>55+</v>
      </c>
    </row>
    <row r="125" spans="1:6">
      <c r="A125">
        <v>124</v>
      </c>
      <c r="B125" t="s">
        <v>6</v>
      </c>
      <c r="C125">
        <v>39</v>
      </c>
      <c r="D125">
        <v>69</v>
      </c>
      <c r="E125">
        <v>91</v>
      </c>
      <c r="F125" s="1" t="str">
        <f t="shared" si="3"/>
        <v>55+</v>
      </c>
    </row>
    <row r="126" spans="1:6">
      <c r="A126">
        <v>125</v>
      </c>
      <c r="B126" t="s">
        <v>7</v>
      </c>
      <c r="C126">
        <v>23</v>
      </c>
      <c r="D126">
        <v>70</v>
      </c>
      <c r="E126">
        <v>29</v>
      </c>
      <c r="F126" s="1" t="str">
        <f t="shared" si="3"/>
        <v>55+</v>
      </c>
    </row>
    <row r="127" spans="1:6">
      <c r="A127">
        <v>126</v>
      </c>
      <c r="B127" t="s">
        <v>7</v>
      </c>
      <c r="C127">
        <v>31</v>
      </c>
      <c r="D127">
        <v>70</v>
      </c>
      <c r="E127">
        <v>77</v>
      </c>
      <c r="F127" s="1" t="str">
        <f t="shared" si="3"/>
        <v>55+</v>
      </c>
    </row>
    <row r="128" spans="1:6">
      <c r="A128">
        <v>127</v>
      </c>
      <c r="B128" t="s">
        <v>6</v>
      </c>
      <c r="C128">
        <v>43</v>
      </c>
      <c r="D128">
        <v>71</v>
      </c>
      <c r="E128">
        <v>35</v>
      </c>
      <c r="F128" s="1" t="str">
        <f t="shared" si="3"/>
        <v>55+</v>
      </c>
    </row>
    <row r="129" spans="1:6">
      <c r="A129">
        <v>128</v>
      </c>
      <c r="B129" t="s">
        <v>6</v>
      </c>
      <c r="C129">
        <v>40</v>
      </c>
      <c r="D129">
        <v>71</v>
      </c>
      <c r="E129">
        <v>95</v>
      </c>
      <c r="F129" s="1" t="str">
        <f t="shared" si="3"/>
        <v>55+</v>
      </c>
    </row>
    <row r="130" spans="1:6">
      <c r="A130">
        <v>129</v>
      </c>
      <c r="B130" t="s">
        <v>6</v>
      </c>
      <c r="C130">
        <v>59</v>
      </c>
      <c r="D130">
        <v>71</v>
      </c>
      <c r="E130">
        <v>11</v>
      </c>
      <c r="F130" s="1" t="str">
        <f t="shared" ref="F130:F161" si="4">IF(D130&lt;=25,"18-25",IF(D130&lt;=35,"26-35",IF(D130&lt;=45,"36-45",IF(D130&lt;=55,"46-55","55+"))))</f>
        <v>55+</v>
      </c>
    </row>
    <row r="131" spans="1:6">
      <c r="A131">
        <v>130</v>
      </c>
      <c r="B131" t="s">
        <v>6</v>
      </c>
      <c r="C131">
        <v>38</v>
      </c>
      <c r="D131">
        <v>71</v>
      </c>
      <c r="E131">
        <v>75</v>
      </c>
      <c r="F131" s="1" t="str">
        <f t="shared" si="4"/>
        <v>55+</v>
      </c>
    </row>
    <row r="132" spans="1:6">
      <c r="A132">
        <v>131</v>
      </c>
      <c r="B132" t="s">
        <v>6</v>
      </c>
      <c r="C132">
        <v>47</v>
      </c>
      <c r="D132">
        <v>71</v>
      </c>
      <c r="E132">
        <v>9</v>
      </c>
      <c r="F132" s="1" t="str">
        <f t="shared" si="4"/>
        <v>55+</v>
      </c>
    </row>
    <row r="133" spans="1:6">
      <c r="A133">
        <v>132</v>
      </c>
      <c r="B133" t="s">
        <v>6</v>
      </c>
      <c r="C133">
        <v>39</v>
      </c>
      <c r="D133">
        <v>71</v>
      </c>
      <c r="E133">
        <v>75</v>
      </c>
      <c r="F133" s="1" t="str">
        <f t="shared" si="4"/>
        <v>55+</v>
      </c>
    </row>
    <row r="134" spans="1:6">
      <c r="A134">
        <v>133</v>
      </c>
      <c r="B134" t="s">
        <v>7</v>
      </c>
      <c r="C134">
        <v>25</v>
      </c>
      <c r="D134">
        <v>72</v>
      </c>
      <c r="E134">
        <v>34</v>
      </c>
      <c r="F134" s="1" t="str">
        <f t="shared" si="4"/>
        <v>55+</v>
      </c>
    </row>
    <row r="135" spans="1:6">
      <c r="A135">
        <v>134</v>
      </c>
      <c r="B135" t="s">
        <v>7</v>
      </c>
      <c r="C135">
        <v>31</v>
      </c>
      <c r="D135">
        <v>72</v>
      </c>
      <c r="E135">
        <v>71</v>
      </c>
      <c r="F135" s="1" t="str">
        <f t="shared" si="4"/>
        <v>55+</v>
      </c>
    </row>
    <row r="136" spans="1:6">
      <c r="A136">
        <v>135</v>
      </c>
      <c r="B136" t="s">
        <v>6</v>
      </c>
      <c r="C136">
        <v>20</v>
      </c>
      <c r="D136">
        <v>73</v>
      </c>
      <c r="E136">
        <v>5</v>
      </c>
      <c r="F136" s="1" t="str">
        <f t="shared" si="4"/>
        <v>55+</v>
      </c>
    </row>
    <row r="137" spans="1:6">
      <c r="A137">
        <v>136</v>
      </c>
      <c r="B137" t="s">
        <v>7</v>
      </c>
      <c r="C137">
        <v>29</v>
      </c>
      <c r="D137">
        <v>73</v>
      </c>
      <c r="E137">
        <v>88</v>
      </c>
      <c r="F137" s="1" t="str">
        <f t="shared" si="4"/>
        <v>55+</v>
      </c>
    </row>
    <row r="138" spans="1:6">
      <c r="A138">
        <v>137</v>
      </c>
      <c r="B138" t="s">
        <v>7</v>
      </c>
      <c r="C138">
        <v>44</v>
      </c>
      <c r="D138">
        <v>73</v>
      </c>
      <c r="E138">
        <v>7</v>
      </c>
      <c r="F138" s="1" t="str">
        <f t="shared" si="4"/>
        <v>55+</v>
      </c>
    </row>
    <row r="139" spans="1:6">
      <c r="A139">
        <v>138</v>
      </c>
      <c r="B139" t="s">
        <v>6</v>
      </c>
      <c r="C139">
        <v>32</v>
      </c>
      <c r="D139">
        <v>73</v>
      </c>
      <c r="E139">
        <v>73</v>
      </c>
      <c r="F139" s="1" t="str">
        <f t="shared" si="4"/>
        <v>55+</v>
      </c>
    </row>
    <row r="140" spans="1:6">
      <c r="A140">
        <v>139</v>
      </c>
      <c r="B140" t="s">
        <v>6</v>
      </c>
      <c r="C140">
        <v>19</v>
      </c>
      <c r="D140">
        <v>74</v>
      </c>
      <c r="E140">
        <v>10</v>
      </c>
      <c r="F140" s="1" t="str">
        <f t="shared" si="4"/>
        <v>55+</v>
      </c>
    </row>
    <row r="141" spans="1:6">
      <c r="A141">
        <v>140</v>
      </c>
      <c r="B141" t="s">
        <v>7</v>
      </c>
      <c r="C141">
        <v>35</v>
      </c>
      <c r="D141">
        <v>74</v>
      </c>
      <c r="E141">
        <v>72</v>
      </c>
      <c r="F141" s="1" t="str">
        <f t="shared" si="4"/>
        <v>55+</v>
      </c>
    </row>
    <row r="142" spans="1:6">
      <c r="A142">
        <v>141</v>
      </c>
      <c r="B142" t="s">
        <v>7</v>
      </c>
      <c r="C142">
        <v>57</v>
      </c>
      <c r="D142">
        <v>75</v>
      </c>
      <c r="E142">
        <v>5</v>
      </c>
      <c r="F142" s="1" t="str">
        <f t="shared" si="4"/>
        <v>55+</v>
      </c>
    </row>
    <row r="143" spans="1:6">
      <c r="A143">
        <v>142</v>
      </c>
      <c r="B143" t="s">
        <v>6</v>
      </c>
      <c r="C143">
        <v>32</v>
      </c>
      <c r="D143">
        <v>75</v>
      </c>
      <c r="E143">
        <v>93</v>
      </c>
      <c r="F143" s="1" t="str">
        <f t="shared" si="4"/>
        <v>55+</v>
      </c>
    </row>
    <row r="144" spans="1:6">
      <c r="A144">
        <v>143</v>
      </c>
      <c r="B144" t="s">
        <v>7</v>
      </c>
      <c r="C144">
        <v>28</v>
      </c>
      <c r="D144">
        <v>76</v>
      </c>
      <c r="E144">
        <v>40</v>
      </c>
      <c r="F144" s="1" t="str">
        <f t="shared" si="4"/>
        <v>55+</v>
      </c>
    </row>
    <row r="145" spans="1:6">
      <c r="A145">
        <v>144</v>
      </c>
      <c r="B145" t="s">
        <v>7</v>
      </c>
      <c r="C145">
        <v>32</v>
      </c>
      <c r="D145">
        <v>76</v>
      </c>
      <c r="E145">
        <v>87</v>
      </c>
      <c r="F145" s="1" t="str">
        <f t="shared" si="4"/>
        <v>55+</v>
      </c>
    </row>
    <row r="146" spans="1:6">
      <c r="A146">
        <v>145</v>
      </c>
      <c r="B146" t="s">
        <v>6</v>
      </c>
      <c r="C146">
        <v>25</v>
      </c>
      <c r="D146">
        <v>77</v>
      </c>
      <c r="E146">
        <v>12</v>
      </c>
      <c r="F146" s="1" t="str">
        <f t="shared" si="4"/>
        <v>55+</v>
      </c>
    </row>
    <row r="147" spans="1:6">
      <c r="A147">
        <v>146</v>
      </c>
      <c r="B147" t="s">
        <v>6</v>
      </c>
      <c r="C147">
        <v>28</v>
      </c>
      <c r="D147">
        <v>77</v>
      </c>
      <c r="E147">
        <v>97</v>
      </c>
      <c r="F147" s="1" t="str">
        <f t="shared" si="4"/>
        <v>55+</v>
      </c>
    </row>
    <row r="148" spans="1:6">
      <c r="A148">
        <v>147</v>
      </c>
      <c r="B148" t="s">
        <v>6</v>
      </c>
      <c r="C148">
        <v>48</v>
      </c>
      <c r="D148">
        <v>77</v>
      </c>
      <c r="E148">
        <v>36</v>
      </c>
      <c r="F148" s="1" t="str">
        <f t="shared" si="4"/>
        <v>55+</v>
      </c>
    </row>
    <row r="149" spans="1:6">
      <c r="A149">
        <v>148</v>
      </c>
      <c r="B149" t="s">
        <v>7</v>
      </c>
      <c r="C149">
        <v>32</v>
      </c>
      <c r="D149">
        <v>77</v>
      </c>
      <c r="E149">
        <v>74</v>
      </c>
      <c r="F149" s="1" t="str">
        <f t="shared" si="4"/>
        <v>55+</v>
      </c>
    </row>
    <row r="150" spans="1:6">
      <c r="A150">
        <v>149</v>
      </c>
      <c r="B150" t="s">
        <v>7</v>
      </c>
      <c r="C150">
        <v>34</v>
      </c>
      <c r="D150">
        <v>78</v>
      </c>
      <c r="E150">
        <v>22</v>
      </c>
      <c r="F150" s="1" t="str">
        <f t="shared" si="4"/>
        <v>55+</v>
      </c>
    </row>
    <row r="151" spans="1:6">
      <c r="A151">
        <v>150</v>
      </c>
      <c r="B151" t="s">
        <v>6</v>
      </c>
      <c r="C151">
        <v>34</v>
      </c>
      <c r="D151">
        <v>78</v>
      </c>
      <c r="E151">
        <v>90</v>
      </c>
      <c r="F151" s="1" t="str">
        <f t="shared" si="4"/>
        <v>55+</v>
      </c>
    </row>
    <row r="152" spans="1:6">
      <c r="A152">
        <v>151</v>
      </c>
      <c r="B152" t="s">
        <v>6</v>
      </c>
      <c r="C152">
        <v>43</v>
      </c>
      <c r="D152">
        <v>78</v>
      </c>
      <c r="E152">
        <v>17</v>
      </c>
      <c r="F152" s="1" t="str">
        <f t="shared" si="4"/>
        <v>55+</v>
      </c>
    </row>
    <row r="153" spans="1:6">
      <c r="A153">
        <v>152</v>
      </c>
      <c r="B153" t="s">
        <v>6</v>
      </c>
      <c r="C153">
        <v>39</v>
      </c>
      <c r="D153">
        <v>78</v>
      </c>
      <c r="E153">
        <v>88</v>
      </c>
      <c r="F153" s="1" t="str">
        <f t="shared" si="4"/>
        <v>55+</v>
      </c>
    </row>
    <row r="154" spans="1:6">
      <c r="A154">
        <v>153</v>
      </c>
      <c r="B154" t="s">
        <v>7</v>
      </c>
      <c r="C154">
        <v>44</v>
      </c>
      <c r="D154">
        <v>78</v>
      </c>
      <c r="E154">
        <v>20</v>
      </c>
      <c r="F154" s="1" t="str">
        <f t="shared" si="4"/>
        <v>55+</v>
      </c>
    </row>
    <row r="155" spans="1:6">
      <c r="A155">
        <v>154</v>
      </c>
      <c r="B155" t="s">
        <v>7</v>
      </c>
      <c r="C155">
        <v>38</v>
      </c>
      <c r="D155">
        <v>78</v>
      </c>
      <c r="E155">
        <v>76</v>
      </c>
      <c r="F155" s="1" t="str">
        <f t="shared" si="4"/>
        <v>55+</v>
      </c>
    </row>
    <row r="156" spans="1:6">
      <c r="A156">
        <v>155</v>
      </c>
      <c r="B156" t="s">
        <v>7</v>
      </c>
      <c r="C156">
        <v>47</v>
      </c>
      <c r="D156">
        <v>78</v>
      </c>
      <c r="E156">
        <v>16</v>
      </c>
      <c r="F156" s="1" t="str">
        <f t="shared" si="4"/>
        <v>55+</v>
      </c>
    </row>
    <row r="157" spans="1:6">
      <c r="A157">
        <v>156</v>
      </c>
      <c r="B157" t="s">
        <v>7</v>
      </c>
      <c r="C157">
        <v>27</v>
      </c>
      <c r="D157">
        <v>78</v>
      </c>
      <c r="E157">
        <v>89</v>
      </c>
      <c r="F157" s="1" t="str">
        <f t="shared" si="4"/>
        <v>55+</v>
      </c>
    </row>
    <row r="158" spans="1:6">
      <c r="A158">
        <v>157</v>
      </c>
      <c r="B158" t="s">
        <v>6</v>
      </c>
      <c r="C158">
        <v>37</v>
      </c>
      <c r="D158">
        <v>78</v>
      </c>
      <c r="E158">
        <v>1</v>
      </c>
      <c r="F158" s="1" t="str">
        <f t="shared" si="4"/>
        <v>55+</v>
      </c>
    </row>
    <row r="159" spans="1:6">
      <c r="A159">
        <v>158</v>
      </c>
      <c r="B159" t="s">
        <v>7</v>
      </c>
      <c r="C159">
        <v>30</v>
      </c>
      <c r="D159">
        <v>78</v>
      </c>
      <c r="E159">
        <v>78</v>
      </c>
      <c r="F159" s="1" t="str">
        <f t="shared" si="4"/>
        <v>55+</v>
      </c>
    </row>
    <row r="160" spans="1:6">
      <c r="A160">
        <v>159</v>
      </c>
      <c r="B160" t="s">
        <v>6</v>
      </c>
      <c r="C160">
        <v>34</v>
      </c>
      <c r="D160">
        <v>78</v>
      </c>
      <c r="E160">
        <v>1</v>
      </c>
      <c r="F160" s="1" t="str">
        <f t="shared" si="4"/>
        <v>55+</v>
      </c>
    </row>
    <row r="161" spans="1:6">
      <c r="A161">
        <v>160</v>
      </c>
      <c r="B161" t="s">
        <v>7</v>
      </c>
      <c r="C161">
        <v>30</v>
      </c>
      <c r="D161">
        <v>78</v>
      </c>
      <c r="E161">
        <v>73</v>
      </c>
      <c r="F161" s="1" t="str">
        <f t="shared" si="4"/>
        <v>55+</v>
      </c>
    </row>
    <row r="162" spans="1:6">
      <c r="A162">
        <v>161</v>
      </c>
      <c r="B162" t="s">
        <v>7</v>
      </c>
      <c r="C162">
        <v>56</v>
      </c>
      <c r="D162">
        <v>79</v>
      </c>
      <c r="E162">
        <v>35</v>
      </c>
      <c r="F162" s="1" t="str">
        <f t="shared" ref="F162:F193" si="5">IF(D162&lt;=25,"18-25",IF(D162&lt;=35,"26-35",IF(D162&lt;=45,"36-45",IF(D162&lt;=55,"46-55","55+"))))</f>
        <v>55+</v>
      </c>
    </row>
    <row r="163" spans="1:6">
      <c r="A163">
        <v>162</v>
      </c>
      <c r="B163" t="s">
        <v>7</v>
      </c>
      <c r="C163">
        <v>29</v>
      </c>
      <c r="D163">
        <v>79</v>
      </c>
      <c r="E163">
        <v>83</v>
      </c>
      <c r="F163" s="1" t="str">
        <f t="shared" si="5"/>
        <v>55+</v>
      </c>
    </row>
    <row r="164" spans="1:6">
      <c r="A164">
        <v>163</v>
      </c>
      <c r="B164" t="s">
        <v>6</v>
      </c>
      <c r="C164">
        <v>19</v>
      </c>
      <c r="D164">
        <v>81</v>
      </c>
      <c r="E164">
        <v>5</v>
      </c>
      <c r="F164" s="1" t="str">
        <f t="shared" si="5"/>
        <v>55+</v>
      </c>
    </row>
    <row r="165" spans="1:6">
      <c r="A165">
        <v>164</v>
      </c>
      <c r="B165" t="s">
        <v>7</v>
      </c>
      <c r="C165">
        <v>31</v>
      </c>
      <c r="D165">
        <v>81</v>
      </c>
      <c r="E165">
        <v>93</v>
      </c>
      <c r="F165" s="1" t="str">
        <f t="shared" si="5"/>
        <v>55+</v>
      </c>
    </row>
    <row r="166" spans="1:6">
      <c r="A166">
        <v>165</v>
      </c>
      <c r="B166" t="s">
        <v>6</v>
      </c>
      <c r="C166">
        <v>50</v>
      </c>
      <c r="D166">
        <v>85</v>
      </c>
      <c r="E166">
        <v>26</v>
      </c>
      <c r="F166" s="1" t="str">
        <f t="shared" si="5"/>
        <v>55+</v>
      </c>
    </row>
    <row r="167" spans="1:6">
      <c r="A167">
        <v>166</v>
      </c>
      <c r="B167" t="s">
        <v>7</v>
      </c>
      <c r="C167">
        <v>36</v>
      </c>
      <c r="D167">
        <v>85</v>
      </c>
      <c r="E167">
        <v>75</v>
      </c>
      <c r="F167" s="1" t="str">
        <f t="shared" si="5"/>
        <v>55+</v>
      </c>
    </row>
    <row r="168" spans="1:6">
      <c r="A168">
        <v>167</v>
      </c>
      <c r="B168" t="s">
        <v>6</v>
      </c>
      <c r="C168">
        <v>42</v>
      </c>
      <c r="D168">
        <v>86</v>
      </c>
      <c r="E168">
        <v>20</v>
      </c>
      <c r="F168" s="1" t="str">
        <f t="shared" si="5"/>
        <v>55+</v>
      </c>
    </row>
    <row r="169" spans="1:6">
      <c r="A169">
        <v>168</v>
      </c>
      <c r="B169" t="s">
        <v>7</v>
      </c>
      <c r="C169">
        <v>33</v>
      </c>
      <c r="D169">
        <v>86</v>
      </c>
      <c r="E169">
        <v>95</v>
      </c>
      <c r="F169" s="1" t="str">
        <f t="shared" si="5"/>
        <v>55+</v>
      </c>
    </row>
    <row r="170" spans="1:6">
      <c r="A170">
        <v>169</v>
      </c>
      <c r="B170" t="s">
        <v>7</v>
      </c>
      <c r="C170">
        <v>36</v>
      </c>
      <c r="D170">
        <v>87</v>
      </c>
      <c r="E170">
        <v>27</v>
      </c>
      <c r="F170" s="1" t="str">
        <f t="shared" si="5"/>
        <v>55+</v>
      </c>
    </row>
    <row r="171" spans="1:6">
      <c r="A171">
        <v>170</v>
      </c>
      <c r="B171" t="s">
        <v>6</v>
      </c>
      <c r="C171">
        <v>32</v>
      </c>
      <c r="D171">
        <v>87</v>
      </c>
      <c r="E171">
        <v>63</v>
      </c>
      <c r="F171" s="1" t="str">
        <f t="shared" si="5"/>
        <v>55+</v>
      </c>
    </row>
    <row r="172" spans="1:6">
      <c r="A172">
        <v>171</v>
      </c>
      <c r="B172" t="s">
        <v>6</v>
      </c>
      <c r="C172">
        <v>40</v>
      </c>
      <c r="D172">
        <v>87</v>
      </c>
      <c r="E172">
        <v>13</v>
      </c>
      <c r="F172" s="1" t="str">
        <f t="shared" si="5"/>
        <v>55+</v>
      </c>
    </row>
    <row r="173" spans="1:6">
      <c r="A173">
        <v>172</v>
      </c>
      <c r="B173" t="s">
        <v>6</v>
      </c>
      <c r="C173">
        <v>28</v>
      </c>
      <c r="D173">
        <v>87</v>
      </c>
      <c r="E173">
        <v>75</v>
      </c>
      <c r="F173" s="1" t="str">
        <f t="shared" si="5"/>
        <v>55+</v>
      </c>
    </row>
    <row r="174" spans="1:6">
      <c r="A174">
        <v>173</v>
      </c>
      <c r="B174" t="s">
        <v>6</v>
      </c>
      <c r="C174">
        <v>36</v>
      </c>
      <c r="D174">
        <v>87</v>
      </c>
      <c r="E174">
        <v>10</v>
      </c>
      <c r="F174" s="1" t="str">
        <f t="shared" si="5"/>
        <v>55+</v>
      </c>
    </row>
    <row r="175" spans="1:6">
      <c r="A175">
        <v>174</v>
      </c>
      <c r="B175" t="s">
        <v>6</v>
      </c>
      <c r="C175">
        <v>36</v>
      </c>
      <c r="D175">
        <v>87</v>
      </c>
      <c r="E175">
        <v>92</v>
      </c>
      <c r="F175" s="1" t="str">
        <f t="shared" si="5"/>
        <v>55+</v>
      </c>
    </row>
    <row r="176" spans="1:6">
      <c r="A176">
        <v>175</v>
      </c>
      <c r="B176" t="s">
        <v>7</v>
      </c>
      <c r="C176">
        <v>52</v>
      </c>
      <c r="D176">
        <v>88</v>
      </c>
      <c r="E176">
        <v>13</v>
      </c>
      <c r="F176" s="1" t="str">
        <f t="shared" si="5"/>
        <v>55+</v>
      </c>
    </row>
    <row r="177" spans="1:6">
      <c r="A177">
        <v>176</v>
      </c>
      <c r="B177" t="s">
        <v>7</v>
      </c>
      <c r="C177">
        <v>30</v>
      </c>
      <c r="D177">
        <v>88</v>
      </c>
      <c r="E177">
        <v>86</v>
      </c>
      <c r="F177" s="1" t="str">
        <f t="shared" si="5"/>
        <v>55+</v>
      </c>
    </row>
    <row r="178" spans="1:6">
      <c r="A178">
        <v>177</v>
      </c>
      <c r="B178" t="s">
        <v>6</v>
      </c>
      <c r="C178">
        <v>58</v>
      </c>
      <c r="D178">
        <v>88</v>
      </c>
      <c r="E178">
        <v>15</v>
      </c>
      <c r="F178" s="1" t="str">
        <f t="shared" si="5"/>
        <v>55+</v>
      </c>
    </row>
    <row r="179" spans="1:6">
      <c r="A179">
        <v>178</v>
      </c>
      <c r="B179" t="s">
        <v>6</v>
      </c>
      <c r="C179">
        <v>27</v>
      </c>
      <c r="D179">
        <v>88</v>
      </c>
      <c r="E179">
        <v>69</v>
      </c>
      <c r="F179" s="1" t="str">
        <f t="shared" si="5"/>
        <v>55+</v>
      </c>
    </row>
    <row r="180" spans="1:6">
      <c r="A180">
        <v>179</v>
      </c>
      <c r="B180" t="s">
        <v>6</v>
      </c>
      <c r="C180">
        <v>59</v>
      </c>
      <c r="D180">
        <v>93</v>
      </c>
      <c r="E180">
        <v>14</v>
      </c>
      <c r="F180" s="1" t="str">
        <f t="shared" si="5"/>
        <v>55+</v>
      </c>
    </row>
    <row r="181" spans="1:6">
      <c r="A181">
        <v>180</v>
      </c>
      <c r="B181" t="s">
        <v>6</v>
      </c>
      <c r="C181">
        <v>35</v>
      </c>
      <c r="D181">
        <v>93</v>
      </c>
      <c r="E181">
        <v>90</v>
      </c>
      <c r="F181" s="1" t="str">
        <f t="shared" si="5"/>
        <v>55+</v>
      </c>
    </row>
    <row r="182" spans="1:6">
      <c r="A182">
        <v>181</v>
      </c>
      <c r="B182" t="s">
        <v>7</v>
      </c>
      <c r="C182">
        <v>37</v>
      </c>
      <c r="D182">
        <v>97</v>
      </c>
      <c r="E182">
        <v>32</v>
      </c>
      <c r="F182" s="1" t="str">
        <f t="shared" si="5"/>
        <v>55+</v>
      </c>
    </row>
    <row r="183" spans="1:6">
      <c r="A183">
        <v>182</v>
      </c>
      <c r="B183" t="s">
        <v>7</v>
      </c>
      <c r="C183">
        <v>32</v>
      </c>
      <c r="D183">
        <v>97</v>
      </c>
      <c r="E183">
        <v>86</v>
      </c>
      <c r="F183" s="1" t="str">
        <f t="shared" si="5"/>
        <v>55+</v>
      </c>
    </row>
    <row r="184" spans="1:6">
      <c r="A184">
        <v>183</v>
      </c>
      <c r="B184" t="s">
        <v>6</v>
      </c>
      <c r="C184">
        <v>46</v>
      </c>
      <c r="D184">
        <v>98</v>
      </c>
      <c r="E184">
        <v>15</v>
      </c>
      <c r="F184" s="1" t="str">
        <f t="shared" si="5"/>
        <v>55+</v>
      </c>
    </row>
    <row r="185" spans="1:6">
      <c r="A185">
        <v>184</v>
      </c>
      <c r="B185" t="s">
        <v>7</v>
      </c>
      <c r="C185">
        <v>29</v>
      </c>
      <c r="D185">
        <v>98</v>
      </c>
      <c r="E185">
        <v>88</v>
      </c>
      <c r="F185" s="1" t="str">
        <f t="shared" si="5"/>
        <v>55+</v>
      </c>
    </row>
    <row r="186" spans="1:6">
      <c r="A186">
        <v>185</v>
      </c>
      <c r="B186" t="s">
        <v>7</v>
      </c>
      <c r="C186">
        <v>41</v>
      </c>
      <c r="D186">
        <v>99</v>
      </c>
      <c r="E186">
        <v>39</v>
      </c>
      <c r="F186" s="1" t="str">
        <f t="shared" si="5"/>
        <v>55+</v>
      </c>
    </row>
    <row r="187" spans="1:6">
      <c r="A187">
        <v>186</v>
      </c>
      <c r="B187" t="s">
        <v>6</v>
      </c>
      <c r="C187">
        <v>30</v>
      </c>
      <c r="D187">
        <v>99</v>
      </c>
      <c r="E187">
        <v>97</v>
      </c>
      <c r="F187" s="1" t="str">
        <f t="shared" si="5"/>
        <v>55+</v>
      </c>
    </row>
    <row r="188" spans="1:6">
      <c r="A188">
        <v>187</v>
      </c>
      <c r="B188" t="s">
        <v>7</v>
      </c>
      <c r="C188">
        <v>54</v>
      </c>
      <c r="D188">
        <v>101</v>
      </c>
      <c r="E188">
        <v>24</v>
      </c>
      <c r="F188" s="1" t="str">
        <f t="shared" si="5"/>
        <v>55+</v>
      </c>
    </row>
    <row r="189" spans="1:6">
      <c r="A189">
        <v>188</v>
      </c>
      <c r="B189" t="s">
        <v>6</v>
      </c>
      <c r="C189">
        <v>28</v>
      </c>
      <c r="D189">
        <v>101</v>
      </c>
      <c r="E189">
        <v>68</v>
      </c>
      <c r="F189" s="1" t="str">
        <f t="shared" si="5"/>
        <v>55+</v>
      </c>
    </row>
    <row r="190" spans="1:6">
      <c r="A190">
        <v>189</v>
      </c>
      <c r="B190" t="s">
        <v>7</v>
      </c>
      <c r="C190">
        <v>41</v>
      </c>
      <c r="D190">
        <v>103</v>
      </c>
      <c r="E190">
        <v>17</v>
      </c>
      <c r="F190" s="1" t="str">
        <f t="shared" si="5"/>
        <v>55+</v>
      </c>
    </row>
    <row r="191" spans="1:6">
      <c r="A191">
        <v>190</v>
      </c>
      <c r="B191" t="s">
        <v>7</v>
      </c>
      <c r="C191">
        <v>36</v>
      </c>
      <c r="D191">
        <v>103</v>
      </c>
      <c r="E191">
        <v>85</v>
      </c>
      <c r="F191" s="1" t="str">
        <f t="shared" si="5"/>
        <v>55+</v>
      </c>
    </row>
    <row r="192" spans="1:6">
      <c r="A192">
        <v>191</v>
      </c>
      <c r="B192" t="s">
        <v>7</v>
      </c>
      <c r="C192">
        <v>34</v>
      </c>
      <c r="D192">
        <v>103</v>
      </c>
      <c r="E192">
        <v>23</v>
      </c>
      <c r="F192" s="1" t="str">
        <f t="shared" si="5"/>
        <v>55+</v>
      </c>
    </row>
    <row r="193" spans="1:6">
      <c r="A193">
        <v>192</v>
      </c>
      <c r="B193" t="s">
        <v>7</v>
      </c>
      <c r="C193">
        <v>32</v>
      </c>
      <c r="D193">
        <v>103</v>
      </c>
      <c r="E193">
        <v>69</v>
      </c>
      <c r="F193" s="1" t="str">
        <f t="shared" si="5"/>
        <v>55+</v>
      </c>
    </row>
    <row r="194" spans="1:6">
      <c r="A194">
        <v>193</v>
      </c>
      <c r="B194" t="s">
        <v>6</v>
      </c>
      <c r="C194">
        <v>33</v>
      </c>
      <c r="D194">
        <v>113</v>
      </c>
      <c r="E194">
        <v>8</v>
      </c>
      <c r="F194" s="1" t="str">
        <f t="shared" ref="F194:F201" si="6">IF(D194&lt;=25,"18-25",IF(D194&lt;=35,"26-35",IF(D194&lt;=45,"36-45",IF(D194&lt;=55,"46-55","55+"))))</f>
        <v>55+</v>
      </c>
    </row>
    <row r="195" spans="1:6">
      <c r="A195">
        <v>194</v>
      </c>
      <c r="B195" t="s">
        <v>7</v>
      </c>
      <c r="C195">
        <v>38</v>
      </c>
      <c r="D195">
        <v>113</v>
      </c>
      <c r="E195">
        <v>91</v>
      </c>
      <c r="F195" s="1" t="str">
        <f t="shared" si="6"/>
        <v>55+</v>
      </c>
    </row>
    <row r="196" spans="1:6">
      <c r="A196">
        <v>195</v>
      </c>
      <c r="B196" t="s">
        <v>7</v>
      </c>
      <c r="C196">
        <v>47</v>
      </c>
      <c r="D196">
        <v>120</v>
      </c>
      <c r="E196">
        <v>16</v>
      </c>
      <c r="F196" s="1" t="str">
        <f t="shared" si="6"/>
        <v>55+</v>
      </c>
    </row>
    <row r="197" spans="1:6">
      <c r="A197">
        <v>196</v>
      </c>
      <c r="B197" t="s">
        <v>7</v>
      </c>
      <c r="C197">
        <v>35</v>
      </c>
      <c r="D197">
        <v>120</v>
      </c>
      <c r="E197">
        <v>79</v>
      </c>
      <c r="F197" s="1" t="str">
        <f t="shared" si="6"/>
        <v>55+</v>
      </c>
    </row>
    <row r="198" spans="1:6">
      <c r="A198">
        <v>197</v>
      </c>
      <c r="B198" t="s">
        <v>7</v>
      </c>
      <c r="C198">
        <v>45</v>
      </c>
      <c r="D198">
        <v>126</v>
      </c>
      <c r="E198">
        <v>28</v>
      </c>
      <c r="F198" s="1" t="str">
        <f t="shared" si="6"/>
        <v>55+</v>
      </c>
    </row>
    <row r="199" spans="1:6">
      <c r="A199">
        <v>198</v>
      </c>
      <c r="B199" t="s">
        <v>6</v>
      </c>
      <c r="C199">
        <v>32</v>
      </c>
      <c r="D199">
        <v>126</v>
      </c>
      <c r="E199">
        <v>74</v>
      </c>
      <c r="F199" s="1" t="str">
        <f t="shared" si="6"/>
        <v>55+</v>
      </c>
    </row>
    <row r="200" spans="1:6">
      <c r="A200">
        <v>199</v>
      </c>
      <c r="B200" t="s">
        <v>6</v>
      </c>
      <c r="C200">
        <v>32</v>
      </c>
      <c r="D200">
        <v>137</v>
      </c>
      <c r="E200">
        <v>18</v>
      </c>
      <c r="F200" s="1" t="str">
        <f t="shared" si="6"/>
        <v>55+</v>
      </c>
    </row>
    <row r="201" spans="1:6">
      <c r="A201">
        <v>200</v>
      </c>
      <c r="B201" t="s">
        <v>6</v>
      </c>
      <c r="C201">
        <v>30</v>
      </c>
      <c r="D201">
        <v>137</v>
      </c>
      <c r="E201">
        <v>83</v>
      </c>
      <c r="F201" s="1" t="str">
        <f t="shared" si="6"/>
        <v>55+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B83B-5EEA-44DD-A437-25EA90BE23F5}">
  <dimension ref="B2:J17"/>
  <sheetViews>
    <sheetView workbookViewId="0">
      <selection activeCell="D12" sqref="D12"/>
    </sheetView>
  </sheetViews>
  <sheetFormatPr defaultRowHeight="15"/>
  <cols>
    <col min="2" max="2" width="21.85546875" bestFit="1" customWidth="1"/>
    <col min="3" max="3" width="28.28515625" bestFit="1" customWidth="1"/>
    <col min="4" max="4" width="31.42578125" bestFit="1" customWidth="1"/>
    <col min="5" max="5" width="19.5703125" bestFit="1" customWidth="1"/>
    <col min="7" max="7" width="11.42578125" bestFit="1" customWidth="1"/>
    <col min="8" max="8" width="31.42578125" bestFit="1" customWidth="1"/>
    <col min="9" max="9" width="28.28515625" bestFit="1" customWidth="1"/>
    <col min="10" max="10" width="19.5703125" bestFit="1" customWidth="1"/>
  </cols>
  <sheetData>
    <row r="2" spans="2:10">
      <c r="B2" s="2" t="s">
        <v>5</v>
      </c>
      <c r="C2" t="s">
        <v>8</v>
      </c>
      <c r="D2" t="s">
        <v>9</v>
      </c>
      <c r="E2" t="s">
        <v>10</v>
      </c>
      <c r="G2" s="2" t="s">
        <v>1</v>
      </c>
      <c r="H2" t="s">
        <v>9</v>
      </c>
      <c r="I2" t="s">
        <v>8</v>
      </c>
      <c r="J2" t="s">
        <v>10</v>
      </c>
    </row>
    <row r="3" spans="2:10">
      <c r="B3" t="s">
        <v>11</v>
      </c>
      <c r="C3" s="3">
        <v>19.75</v>
      </c>
      <c r="D3" s="3">
        <v>50.208333333333336</v>
      </c>
      <c r="E3" s="3">
        <v>24</v>
      </c>
      <c r="G3" t="s">
        <v>7</v>
      </c>
      <c r="H3" s="3">
        <v>51.526785714285715</v>
      </c>
      <c r="I3" s="3">
        <v>59.25</v>
      </c>
      <c r="J3" s="3">
        <v>112</v>
      </c>
    </row>
    <row r="4" spans="2:10">
      <c r="B4" t="s">
        <v>12</v>
      </c>
      <c r="C4" s="3">
        <v>30.714285714285715</v>
      </c>
      <c r="D4" s="3">
        <v>47.5</v>
      </c>
      <c r="E4" s="3">
        <v>14</v>
      </c>
      <c r="G4" t="s">
        <v>6</v>
      </c>
      <c r="H4" s="3">
        <v>48.511363636363633</v>
      </c>
      <c r="I4" s="3">
        <v>62.227272727272727</v>
      </c>
      <c r="J4" s="3">
        <v>88</v>
      </c>
    </row>
    <row r="5" spans="2:10">
      <c r="B5" t="s">
        <v>13</v>
      </c>
      <c r="C5" s="3">
        <v>40.5</v>
      </c>
      <c r="D5" s="3">
        <v>50.6</v>
      </c>
      <c r="E5" s="3">
        <v>20</v>
      </c>
      <c r="G5" t="s">
        <v>14</v>
      </c>
      <c r="H5" s="3">
        <v>50.2</v>
      </c>
      <c r="I5" s="3">
        <v>60.56</v>
      </c>
      <c r="J5" s="3">
        <v>200</v>
      </c>
    </row>
    <row r="6" spans="2:10">
      <c r="B6" t="s">
        <v>15</v>
      </c>
      <c r="C6" s="3">
        <v>50.428571428571431</v>
      </c>
      <c r="D6" s="3">
        <v>50.892857142857146</v>
      </c>
      <c r="E6" s="3">
        <v>28</v>
      </c>
    </row>
    <row r="7" spans="2:10">
      <c r="B7" t="s">
        <v>16</v>
      </c>
      <c r="C7" s="3">
        <v>78.824561403508767</v>
      </c>
      <c r="D7" s="3">
        <v>50.289473684210527</v>
      </c>
      <c r="E7" s="3">
        <v>114</v>
      </c>
    </row>
    <row r="8" spans="2:10">
      <c r="B8" t="s">
        <v>14</v>
      </c>
      <c r="C8" s="3">
        <v>60.56</v>
      </c>
      <c r="D8" s="3">
        <v>50.2</v>
      </c>
      <c r="E8" s="3">
        <v>200</v>
      </c>
    </row>
    <row r="11" spans="2:10">
      <c r="B11" s="2" t="s">
        <v>17</v>
      </c>
      <c r="C11" t="s">
        <v>8</v>
      </c>
      <c r="D11" t="s">
        <v>9</v>
      </c>
    </row>
    <row r="12" spans="2:10">
      <c r="B12" t="s">
        <v>18</v>
      </c>
      <c r="C12" s="3">
        <v>26.727272727272727</v>
      </c>
      <c r="D12" s="3">
        <v>20.045454545454547</v>
      </c>
    </row>
    <row r="13" spans="2:10">
      <c r="B13" t="s">
        <v>19</v>
      </c>
      <c r="C13" s="3">
        <v>33.485714285714288</v>
      </c>
      <c r="D13" s="3">
        <v>71.228571428571428</v>
      </c>
    </row>
    <row r="14" spans="2:10">
      <c r="B14" t="s">
        <v>20</v>
      </c>
      <c r="C14" s="3">
        <v>76.96875</v>
      </c>
      <c r="D14" s="3">
        <v>29.71875</v>
      </c>
    </row>
    <row r="15" spans="2:10">
      <c r="B15" t="s">
        <v>21</v>
      </c>
      <c r="C15" s="3">
        <v>47.103448275862071</v>
      </c>
      <c r="D15" s="3">
        <v>47.344827586206897</v>
      </c>
    </row>
    <row r="16" spans="2:10">
      <c r="B16" t="s">
        <v>22</v>
      </c>
      <c r="C16" s="3">
        <v>81.2</v>
      </c>
      <c r="D16" s="3">
        <v>76.62</v>
      </c>
    </row>
    <row r="17" spans="2:4">
      <c r="B17" t="s">
        <v>14</v>
      </c>
      <c r="C17" s="3">
        <v>60.56</v>
      </c>
      <c r="D17" s="3">
        <v>50.2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6C6F-1F51-4E9F-B3E6-3C4A607B2400}">
  <dimension ref="A1:I209"/>
  <sheetViews>
    <sheetView workbookViewId="0">
      <selection sqref="A1:G201"/>
    </sheetView>
  </sheetViews>
  <sheetFormatPr defaultRowHeight="15"/>
  <cols>
    <col min="1" max="1" width="13.7109375" bestFit="1" customWidth="1"/>
    <col min="2" max="2" width="9.7109375" bestFit="1" customWidth="1"/>
    <col min="4" max="4" width="20.42578125" bestFit="1" customWidth="1"/>
    <col min="5" max="5" width="23.5703125" bestFit="1" customWidth="1"/>
    <col min="6" max="6" width="13.140625" style="1" bestFit="1" customWidth="1"/>
    <col min="7" max="7" width="21.85546875" bestFit="1" customWidth="1"/>
    <col min="9" max="9" width="17.7109375" customWidth="1"/>
    <col min="10" max="10" width="21" bestFit="1" customWidth="1"/>
    <col min="11" max="11" width="22.5703125" bestFit="1" customWidth="1"/>
    <col min="12" max="12" width="20.7109375" bestFit="1" customWidth="1"/>
    <col min="13" max="13" width="23.7109375" bestFit="1" customWidth="1"/>
    <col min="14" max="14" width="20.85546875" bestFit="1" customWidth="1"/>
    <col min="15" max="15" width="29.42578125" bestFit="1" customWidth="1"/>
    <col min="16" max="16" width="27.5703125" bestFit="1" customWidth="1"/>
    <col min="17" max="17" width="18.7109375" bestFit="1" customWidth="1"/>
    <col min="18" max="18" width="16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17</v>
      </c>
    </row>
    <row r="2" spans="1:9">
      <c r="A2">
        <v>87</v>
      </c>
      <c r="B2" t="s">
        <v>7</v>
      </c>
      <c r="C2">
        <v>55</v>
      </c>
      <c r="D2">
        <v>57</v>
      </c>
      <c r="E2">
        <v>58</v>
      </c>
      <c r="F2" s="1" t="s">
        <v>16</v>
      </c>
      <c r="G2" t="str">
        <f>IF(AND(E2&gt;=55,D2&gt;=55),"Premium Loyalists",IF(AND(E2&gt;=55,D2&lt;55),"High Earners Low Spend",IF(AND(E2&lt;55,D2&gt;=55),"Impulsive Buyers",IF(AND(E2&lt;40,D2&lt;40),"Budget Conscious","Mid-Market"))))</f>
        <v>Premium Loyalists</v>
      </c>
      <c r="I2" s="4"/>
    </row>
    <row r="3" spans="1:9">
      <c r="A3">
        <v>88</v>
      </c>
      <c r="B3" t="s">
        <v>7</v>
      </c>
      <c r="C3">
        <v>22</v>
      </c>
      <c r="D3">
        <v>57</v>
      </c>
      <c r="E3">
        <v>55</v>
      </c>
      <c r="F3" s="1" t="s">
        <v>16</v>
      </c>
      <c r="G3" t="str">
        <f>IF(AND(E3&gt;=55,D3&gt;=55),"Premium Loyalists",IF(AND(E3&gt;=55,D3&lt;55),"High Earners Low Spend",IF(AND(E3&lt;55,D3&gt;=55),"Impulsive Buyers",IF(AND(E3&lt;40,D3&lt;40),"Budget Conscious","Mid-Market"))))</f>
        <v>Premium Loyalists</v>
      </c>
      <c r="I3" s="4"/>
    </row>
    <row r="4" spans="1:9">
      <c r="A4">
        <v>89</v>
      </c>
      <c r="B4" t="s">
        <v>7</v>
      </c>
      <c r="C4">
        <v>34</v>
      </c>
      <c r="D4">
        <v>58</v>
      </c>
      <c r="E4">
        <v>60</v>
      </c>
      <c r="F4" s="1" t="s">
        <v>16</v>
      </c>
      <c r="G4" t="str">
        <f>IF(AND(E4&gt;=55,D4&gt;=55),"Premium Loyalists",IF(AND(E4&gt;=55,D4&lt;55),"High Earners Low Spend",IF(AND(E4&lt;55,D4&gt;=55),"Impulsive Buyers",IF(AND(E4&lt;40,D4&lt;40),"Budget Conscious","Mid-Market"))))</f>
        <v>Premium Loyalists</v>
      </c>
      <c r="I4" s="4"/>
    </row>
    <row r="5" spans="1:9">
      <c r="A5">
        <v>91</v>
      </c>
      <c r="B5" t="s">
        <v>7</v>
      </c>
      <c r="C5">
        <v>68</v>
      </c>
      <c r="D5">
        <v>59</v>
      </c>
      <c r="E5">
        <v>55</v>
      </c>
      <c r="F5" s="1" t="s">
        <v>16</v>
      </c>
      <c r="G5" t="str">
        <f>IF(AND(E5&gt;=55,D5&gt;=55),"Premium Loyalists",IF(AND(E5&gt;=55,D5&lt;55),"High Earners Low Spend",IF(AND(E5&lt;55,D5&gt;=55),"Impulsive Buyers",IF(AND(E5&lt;40,D5&lt;40),"Budget Conscious","Mid-Market"))))</f>
        <v>Premium Loyalists</v>
      </c>
      <c r="I5" s="4"/>
    </row>
    <row r="6" spans="1:9">
      <c r="A6">
        <v>103</v>
      </c>
      <c r="B6" t="s">
        <v>6</v>
      </c>
      <c r="C6">
        <v>67</v>
      </c>
      <c r="D6">
        <v>62</v>
      </c>
      <c r="E6">
        <v>59</v>
      </c>
      <c r="F6" s="1" t="s">
        <v>16</v>
      </c>
      <c r="G6" t="str">
        <f>IF(AND(E6&gt;=55,D6&gt;=55),"Premium Loyalists",IF(AND(E6&gt;=55,D6&lt;55),"High Earners Low Spend",IF(AND(E6&lt;55,D6&gt;=55),"Impulsive Buyers",IF(AND(E6&lt;40,D6&lt;40),"Budget Conscious","Mid-Market"))))</f>
        <v>Premium Loyalists</v>
      </c>
      <c r="I6" s="4"/>
    </row>
    <row r="7" spans="1:9">
      <c r="A7">
        <v>104</v>
      </c>
      <c r="B7" t="s">
        <v>6</v>
      </c>
      <c r="C7">
        <v>26</v>
      </c>
      <c r="D7">
        <v>62</v>
      </c>
      <c r="E7">
        <v>55</v>
      </c>
      <c r="F7" s="1" t="s">
        <v>16</v>
      </c>
      <c r="G7" t="str">
        <f>IF(AND(E7&gt;=55,D7&gt;=55),"Premium Loyalists",IF(AND(E7&gt;=55,D7&lt;55),"High Earners Low Spend",IF(AND(E7&lt;55,D7&gt;=55),"Impulsive Buyers",IF(AND(E7&lt;40,D7&lt;40),"Budget Conscious","Mid-Market"))))</f>
        <v>Premium Loyalists</v>
      </c>
      <c r="I7" s="4"/>
    </row>
    <row r="8" spans="1:9">
      <c r="A8">
        <v>105</v>
      </c>
      <c r="B8" t="s">
        <v>6</v>
      </c>
      <c r="C8">
        <v>49</v>
      </c>
      <c r="D8">
        <v>62</v>
      </c>
      <c r="E8">
        <v>56</v>
      </c>
      <c r="F8" s="1" t="s">
        <v>16</v>
      </c>
      <c r="G8" t="str">
        <f>IF(AND(E8&gt;=55,D8&gt;=55),"Premium Loyalists",IF(AND(E8&gt;=55,D8&lt;55),"High Earners Low Spend",IF(AND(E8&lt;55,D8&gt;=55),"Impulsive Buyers",IF(AND(E8&lt;40,D8&lt;40),"Budget Conscious","Mid-Market"))))</f>
        <v>Premium Loyalists</v>
      </c>
      <c r="I8" s="4"/>
    </row>
    <row r="9" spans="1:9">
      <c r="A9">
        <v>118</v>
      </c>
      <c r="B9" t="s">
        <v>7</v>
      </c>
      <c r="C9">
        <v>49</v>
      </c>
      <c r="D9">
        <v>65</v>
      </c>
      <c r="E9">
        <v>59</v>
      </c>
      <c r="F9" s="1" t="s">
        <v>16</v>
      </c>
      <c r="G9" t="str">
        <f>IF(AND(E9&gt;=55,D9&gt;=55),"Premium Loyalists",IF(AND(E9&gt;=55,D9&lt;55),"High Earners Low Spend",IF(AND(E9&lt;55,D9&gt;=55),"Impulsive Buyers",IF(AND(E9&lt;40,D9&lt;40),"Budget Conscious","Mid-Market"))))</f>
        <v>Premium Loyalists</v>
      </c>
      <c r="I9" s="4"/>
    </row>
    <row r="10" spans="1:9">
      <c r="A10">
        <v>120</v>
      </c>
      <c r="B10" t="s">
        <v>7</v>
      </c>
      <c r="C10">
        <v>50</v>
      </c>
      <c r="D10">
        <v>67</v>
      </c>
      <c r="E10">
        <v>57</v>
      </c>
      <c r="F10" s="1" t="s">
        <v>16</v>
      </c>
      <c r="G10" t="str">
        <f>IF(AND(E10&gt;=55,D10&gt;=55),"Premium Loyalists",IF(AND(E10&gt;=55,D10&lt;55),"High Earners Low Spend",IF(AND(E10&lt;55,D10&gt;=55),"Impulsive Buyers",IF(AND(E10&lt;40,D10&lt;40),"Budget Conscious","Mid-Market"))))</f>
        <v>Premium Loyalists</v>
      </c>
      <c r="I10" s="4"/>
    </row>
    <row r="11" spans="1:9">
      <c r="A11">
        <v>121</v>
      </c>
      <c r="B11" t="s">
        <v>6</v>
      </c>
      <c r="C11">
        <v>27</v>
      </c>
      <c r="D11">
        <v>67</v>
      </c>
      <c r="E11">
        <v>56</v>
      </c>
      <c r="F11" s="1" t="s">
        <v>16</v>
      </c>
      <c r="G11" t="str">
        <f>IF(AND(E11&gt;=55,D11&gt;=55),"Premium Loyalists",IF(AND(E11&gt;=55,D11&lt;55),"High Earners Low Spend",IF(AND(E11&lt;55,D11&gt;=55),"Impulsive Buyers",IF(AND(E11&lt;40,D11&lt;40),"Budget Conscious","Mid-Market"))))</f>
        <v>Premium Loyalists</v>
      </c>
      <c r="I11" s="4"/>
    </row>
    <row r="12" spans="1:9">
      <c r="A12">
        <v>123</v>
      </c>
      <c r="B12" t="s">
        <v>7</v>
      </c>
      <c r="C12">
        <v>40</v>
      </c>
      <c r="D12">
        <v>69</v>
      </c>
      <c r="E12">
        <v>58</v>
      </c>
      <c r="F12" s="1" t="s">
        <v>16</v>
      </c>
      <c r="G12" t="str">
        <f>IF(AND(E12&gt;=55,D12&gt;=55),"Premium Loyalists",IF(AND(E12&gt;=55,D12&lt;55),"High Earners Low Spend",IF(AND(E12&lt;55,D12&gt;=55),"Impulsive Buyers",IF(AND(E12&lt;40,D12&lt;40),"Budget Conscious","Mid-Market"))))</f>
        <v>Premium Loyalists</v>
      </c>
      <c r="I12" s="4"/>
    </row>
    <row r="13" spans="1:9">
      <c r="A13">
        <v>124</v>
      </c>
      <c r="B13" t="s">
        <v>6</v>
      </c>
      <c r="C13">
        <v>39</v>
      </c>
      <c r="D13">
        <v>69</v>
      </c>
      <c r="E13">
        <v>91</v>
      </c>
      <c r="F13" s="1" t="s">
        <v>16</v>
      </c>
      <c r="G13" t="str">
        <f>IF(AND(E13&gt;=55,D13&gt;=55),"Premium Loyalists",IF(AND(E13&gt;=55,D13&lt;55),"High Earners Low Spend",IF(AND(E13&lt;55,D13&gt;=55),"Impulsive Buyers",IF(AND(E13&lt;40,D13&lt;40),"Budget Conscious","Mid-Market"))))</f>
        <v>Premium Loyalists</v>
      </c>
      <c r="I13" s="4"/>
    </row>
    <row r="14" spans="1:9">
      <c r="A14">
        <v>126</v>
      </c>
      <c r="B14" t="s">
        <v>7</v>
      </c>
      <c r="C14">
        <v>31</v>
      </c>
      <c r="D14">
        <v>70</v>
      </c>
      <c r="E14">
        <v>77</v>
      </c>
      <c r="F14" s="1" t="s">
        <v>16</v>
      </c>
      <c r="G14" t="str">
        <f>IF(AND(E14&gt;=55,D14&gt;=55),"Premium Loyalists",IF(AND(E14&gt;=55,D14&lt;55),"High Earners Low Spend",IF(AND(E14&lt;55,D14&gt;=55),"Impulsive Buyers",IF(AND(E14&lt;40,D14&lt;40),"Budget Conscious","Mid-Market"))))</f>
        <v>Premium Loyalists</v>
      </c>
      <c r="I14" s="4"/>
    </row>
    <row r="15" spans="1:9">
      <c r="A15">
        <v>128</v>
      </c>
      <c r="B15" t="s">
        <v>6</v>
      </c>
      <c r="C15">
        <v>40</v>
      </c>
      <c r="D15">
        <v>71</v>
      </c>
      <c r="E15">
        <v>95</v>
      </c>
      <c r="F15" s="1" t="s">
        <v>16</v>
      </c>
      <c r="G15" t="str">
        <f>IF(AND(E15&gt;=55,D15&gt;=55),"Premium Loyalists",IF(AND(E15&gt;=55,D15&lt;55),"High Earners Low Spend",IF(AND(E15&lt;55,D15&gt;=55),"Impulsive Buyers",IF(AND(E15&lt;40,D15&lt;40),"Budget Conscious","Mid-Market"))))</f>
        <v>Premium Loyalists</v>
      </c>
      <c r="I15" s="4"/>
    </row>
    <row r="16" spans="1:9">
      <c r="A16">
        <v>130</v>
      </c>
      <c r="B16" t="s">
        <v>6</v>
      </c>
      <c r="C16">
        <v>38</v>
      </c>
      <c r="D16">
        <v>71</v>
      </c>
      <c r="E16">
        <v>75</v>
      </c>
      <c r="F16" s="1" t="s">
        <v>16</v>
      </c>
      <c r="G16" t="str">
        <f>IF(AND(E16&gt;=55,D16&gt;=55),"Premium Loyalists",IF(AND(E16&gt;=55,D16&lt;55),"High Earners Low Spend",IF(AND(E16&lt;55,D16&gt;=55),"Impulsive Buyers",IF(AND(E16&lt;40,D16&lt;40),"Budget Conscious","Mid-Market"))))</f>
        <v>Premium Loyalists</v>
      </c>
      <c r="I16" s="4"/>
    </row>
    <row r="17" spans="1:9">
      <c r="A17">
        <v>132</v>
      </c>
      <c r="B17" t="s">
        <v>6</v>
      </c>
      <c r="C17">
        <v>39</v>
      </c>
      <c r="D17">
        <v>71</v>
      </c>
      <c r="E17">
        <v>75</v>
      </c>
      <c r="F17" s="1" t="s">
        <v>16</v>
      </c>
      <c r="G17" t="str">
        <f>IF(AND(E17&gt;=55,D17&gt;=55),"Premium Loyalists",IF(AND(E17&gt;=55,D17&lt;55),"High Earners Low Spend",IF(AND(E17&lt;55,D17&gt;=55),"Impulsive Buyers",IF(AND(E17&lt;40,D17&lt;40),"Budget Conscious","Mid-Market"))))</f>
        <v>Premium Loyalists</v>
      </c>
      <c r="I17" s="4"/>
    </row>
    <row r="18" spans="1:9">
      <c r="A18">
        <v>134</v>
      </c>
      <c r="B18" t="s">
        <v>7</v>
      </c>
      <c r="C18">
        <v>31</v>
      </c>
      <c r="D18">
        <v>72</v>
      </c>
      <c r="E18">
        <v>71</v>
      </c>
      <c r="F18" s="1" t="s">
        <v>16</v>
      </c>
      <c r="G18" t="str">
        <f>IF(AND(E18&gt;=55,D18&gt;=55),"Premium Loyalists",IF(AND(E18&gt;=55,D18&lt;55),"High Earners Low Spend",IF(AND(E18&lt;55,D18&gt;=55),"Impulsive Buyers",IF(AND(E18&lt;40,D18&lt;40),"Budget Conscious","Mid-Market"))))</f>
        <v>Premium Loyalists</v>
      </c>
      <c r="I18" s="4"/>
    </row>
    <row r="19" spans="1:9">
      <c r="A19">
        <v>136</v>
      </c>
      <c r="B19" t="s">
        <v>7</v>
      </c>
      <c r="C19">
        <v>29</v>
      </c>
      <c r="D19">
        <v>73</v>
      </c>
      <c r="E19">
        <v>88</v>
      </c>
      <c r="F19" s="1" t="s">
        <v>16</v>
      </c>
      <c r="G19" t="str">
        <f>IF(AND(E19&gt;=55,D19&gt;=55),"Premium Loyalists",IF(AND(E19&gt;=55,D19&lt;55),"High Earners Low Spend",IF(AND(E19&lt;55,D19&gt;=55),"Impulsive Buyers",IF(AND(E19&lt;40,D19&lt;40),"Budget Conscious","Mid-Market"))))</f>
        <v>Premium Loyalists</v>
      </c>
      <c r="I19" s="4"/>
    </row>
    <row r="20" spans="1:9">
      <c r="A20">
        <v>138</v>
      </c>
      <c r="B20" t="s">
        <v>6</v>
      </c>
      <c r="C20">
        <v>32</v>
      </c>
      <c r="D20">
        <v>73</v>
      </c>
      <c r="E20">
        <v>73</v>
      </c>
      <c r="F20" s="1" t="s">
        <v>16</v>
      </c>
      <c r="G20" t="str">
        <f>IF(AND(E20&gt;=55,D20&gt;=55),"Premium Loyalists",IF(AND(E20&gt;=55,D20&lt;55),"High Earners Low Spend",IF(AND(E20&lt;55,D20&gt;=55),"Impulsive Buyers",IF(AND(E20&lt;40,D20&lt;40),"Budget Conscious","Mid-Market"))))</f>
        <v>Premium Loyalists</v>
      </c>
      <c r="I20" s="4"/>
    </row>
    <row r="21" spans="1:9">
      <c r="A21">
        <v>140</v>
      </c>
      <c r="B21" t="s">
        <v>7</v>
      </c>
      <c r="C21">
        <v>35</v>
      </c>
      <c r="D21">
        <v>74</v>
      </c>
      <c r="E21">
        <v>72</v>
      </c>
      <c r="F21" s="1" t="s">
        <v>16</v>
      </c>
      <c r="G21" t="str">
        <f>IF(AND(E21&gt;=55,D21&gt;=55),"Premium Loyalists",IF(AND(E21&gt;=55,D21&lt;55),"High Earners Low Spend",IF(AND(E21&lt;55,D21&gt;=55),"Impulsive Buyers",IF(AND(E21&lt;40,D21&lt;40),"Budget Conscious","Mid-Market"))))</f>
        <v>Premium Loyalists</v>
      </c>
      <c r="I21" s="4"/>
    </row>
    <row r="22" spans="1:9">
      <c r="A22">
        <v>142</v>
      </c>
      <c r="B22" t="s">
        <v>6</v>
      </c>
      <c r="C22">
        <v>32</v>
      </c>
      <c r="D22">
        <v>75</v>
      </c>
      <c r="E22">
        <v>93</v>
      </c>
      <c r="F22" s="1" t="s">
        <v>16</v>
      </c>
      <c r="G22" t="str">
        <f>IF(AND(E22&gt;=55,D22&gt;=55),"Premium Loyalists",IF(AND(E22&gt;=55,D22&lt;55),"High Earners Low Spend",IF(AND(E22&lt;55,D22&gt;=55),"Impulsive Buyers",IF(AND(E22&lt;40,D22&lt;40),"Budget Conscious","Mid-Market"))))</f>
        <v>Premium Loyalists</v>
      </c>
      <c r="I22" s="4"/>
    </row>
    <row r="23" spans="1:9">
      <c r="A23">
        <v>144</v>
      </c>
      <c r="B23" t="s">
        <v>7</v>
      </c>
      <c r="C23">
        <v>32</v>
      </c>
      <c r="D23">
        <v>76</v>
      </c>
      <c r="E23">
        <v>87</v>
      </c>
      <c r="F23" s="1" t="s">
        <v>16</v>
      </c>
      <c r="G23" t="str">
        <f>IF(AND(E23&gt;=55,D23&gt;=55),"Premium Loyalists",IF(AND(E23&gt;=55,D23&lt;55),"High Earners Low Spend",IF(AND(E23&lt;55,D23&gt;=55),"Impulsive Buyers",IF(AND(E23&lt;40,D23&lt;40),"Budget Conscious","Mid-Market"))))</f>
        <v>Premium Loyalists</v>
      </c>
      <c r="I23" s="4"/>
    </row>
    <row r="24" spans="1:9">
      <c r="A24">
        <v>146</v>
      </c>
      <c r="B24" t="s">
        <v>6</v>
      </c>
      <c r="C24">
        <v>28</v>
      </c>
      <c r="D24">
        <v>77</v>
      </c>
      <c r="E24">
        <v>97</v>
      </c>
      <c r="F24" s="1" t="s">
        <v>16</v>
      </c>
      <c r="G24" t="str">
        <f>IF(AND(E24&gt;=55,D24&gt;=55),"Premium Loyalists",IF(AND(E24&gt;=55,D24&lt;55),"High Earners Low Spend",IF(AND(E24&lt;55,D24&gt;=55),"Impulsive Buyers",IF(AND(E24&lt;40,D24&lt;40),"Budget Conscious","Mid-Market"))))</f>
        <v>Premium Loyalists</v>
      </c>
      <c r="I24" s="4"/>
    </row>
    <row r="25" spans="1:9">
      <c r="A25">
        <v>148</v>
      </c>
      <c r="B25" t="s">
        <v>7</v>
      </c>
      <c r="C25">
        <v>32</v>
      </c>
      <c r="D25">
        <v>77</v>
      </c>
      <c r="E25">
        <v>74</v>
      </c>
      <c r="F25" s="1" t="s">
        <v>16</v>
      </c>
      <c r="G25" t="str">
        <f>IF(AND(E25&gt;=55,D25&gt;=55),"Premium Loyalists",IF(AND(E25&gt;=55,D25&lt;55),"High Earners Low Spend",IF(AND(E25&lt;55,D25&gt;=55),"Impulsive Buyers",IF(AND(E25&lt;40,D25&lt;40),"Budget Conscious","Mid-Market"))))</f>
        <v>Premium Loyalists</v>
      </c>
      <c r="I25" s="4"/>
    </row>
    <row r="26" spans="1:9">
      <c r="A26">
        <v>150</v>
      </c>
      <c r="B26" t="s">
        <v>6</v>
      </c>
      <c r="C26">
        <v>34</v>
      </c>
      <c r="D26">
        <v>78</v>
      </c>
      <c r="E26">
        <v>90</v>
      </c>
      <c r="F26" s="1" t="s">
        <v>16</v>
      </c>
      <c r="G26" t="str">
        <f>IF(AND(E26&gt;=55,D26&gt;=55),"Premium Loyalists",IF(AND(E26&gt;=55,D26&lt;55),"High Earners Low Spend",IF(AND(E26&lt;55,D26&gt;=55),"Impulsive Buyers",IF(AND(E26&lt;40,D26&lt;40),"Budget Conscious","Mid-Market"))))</f>
        <v>Premium Loyalists</v>
      </c>
      <c r="I26" s="4"/>
    </row>
    <row r="27" spans="1:9">
      <c r="A27">
        <v>152</v>
      </c>
      <c r="B27" t="s">
        <v>6</v>
      </c>
      <c r="C27">
        <v>39</v>
      </c>
      <c r="D27">
        <v>78</v>
      </c>
      <c r="E27">
        <v>88</v>
      </c>
      <c r="F27" s="1" t="s">
        <v>16</v>
      </c>
      <c r="G27" t="str">
        <f>IF(AND(E27&gt;=55,D27&gt;=55),"Premium Loyalists",IF(AND(E27&gt;=55,D27&lt;55),"High Earners Low Spend",IF(AND(E27&lt;55,D27&gt;=55),"Impulsive Buyers",IF(AND(E27&lt;40,D27&lt;40),"Budget Conscious","Mid-Market"))))</f>
        <v>Premium Loyalists</v>
      </c>
      <c r="I27" s="4"/>
    </row>
    <row r="28" spans="1:9">
      <c r="A28">
        <v>154</v>
      </c>
      <c r="B28" t="s">
        <v>7</v>
      </c>
      <c r="C28">
        <v>38</v>
      </c>
      <c r="D28">
        <v>78</v>
      </c>
      <c r="E28">
        <v>76</v>
      </c>
      <c r="F28" s="1" t="s">
        <v>16</v>
      </c>
      <c r="G28" t="str">
        <f>IF(AND(E28&gt;=55,D28&gt;=55),"Premium Loyalists",IF(AND(E28&gt;=55,D28&lt;55),"High Earners Low Spend",IF(AND(E28&lt;55,D28&gt;=55),"Impulsive Buyers",IF(AND(E28&lt;40,D28&lt;40),"Budget Conscious","Mid-Market"))))</f>
        <v>Premium Loyalists</v>
      </c>
      <c r="I28" s="4"/>
    </row>
    <row r="29" spans="1:9">
      <c r="A29">
        <v>156</v>
      </c>
      <c r="B29" t="s">
        <v>7</v>
      </c>
      <c r="C29">
        <v>27</v>
      </c>
      <c r="D29">
        <v>78</v>
      </c>
      <c r="E29">
        <v>89</v>
      </c>
      <c r="F29" s="1" t="s">
        <v>16</v>
      </c>
      <c r="G29" t="str">
        <f>IF(AND(E29&gt;=55,D29&gt;=55),"Premium Loyalists",IF(AND(E29&gt;=55,D29&lt;55),"High Earners Low Spend",IF(AND(E29&lt;55,D29&gt;=55),"Impulsive Buyers",IF(AND(E29&lt;40,D29&lt;40),"Budget Conscious","Mid-Market"))))</f>
        <v>Premium Loyalists</v>
      </c>
      <c r="I29" s="4"/>
    </row>
    <row r="30" spans="1:9">
      <c r="A30">
        <v>158</v>
      </c>
      <c r="B30" t="s">
        <v>7</v>
      </c>
      <c r="C30">
        <v>30</v>
      </c>
      <c r="D30">
        <v>78</v>
      </c>
      <c r="E30">
        <v>78</v>
      </c>
      <c r="F30" s="1" t="s">
        <v>16</v>
      </c>
      <c r="G30" t="str">
        <f>IF(AND(E30&gt;=55,D30&gt;=55),"Premium Loyalists",IF(AND(E30&gt;=55,D30&lt;55),"High Earners Low Spend",IF(AND(E30&lt;55,D30&gt;=55),"Impulsive Buyers",IF(AND(E30&lt;40,D30&lt;40),"Budget Conscious","Mid-Market"))))</f>
        <v>Premium Loyalists</v>
      </c>
      <c r="I30" s="4"/>
    </row>
    <row r="31" spans="1:9">
      <c r="A31">
        <v>160</v>
      </c>
      <c r="B31" t="s">
        <v>7</v>
      </c>
      <c r="C31">
        <v>30</v>
      </c>
      <c r="D31">
        <v>78</v>
      </c>
      <c r="E31">
        <v>73</v>
      </c>
      <c r="F31" s="1" t="s">
        <v>16</v>
      </c>
      <c r="G31" t="str">
        <f>IF(AND(E31&gt;=55,D31&gt;=55),"Premium Loyalists",IF(AND(E31&gt;=55,D31&lt;55),"High Earners Low Spend",IF(AND(E31&lt;55,D31&gt;=55),"Impulsive Buyers",IF(AND(E31&lt;40,D31&lt;40),"Budget Conscious","Mid-Market"))))</f>
        <v>Premium Loyalists</v>
      </c>
      <c r="I31" s="4"/>
    </row>
    <row r="32" spans="1:9">
      <c r="A32">
        <v>162</v>
      </c>
      <c r="B32" t="s">
        <v>7</v>
      </c>
      <c r="C32">
        <v>29</v>
      </c>
      <c r="D32">
        <v>79</v>
      </c>
      <c r="E32">
        <v>83</v>
      </c>
      <c r="F32" s="1" t="s">
        <v>16</v>
      </c>
      <c r="G32" t="str">
        <f>IF(AND(E32&gt;=55,D32&gt;=55),"Premium Loyalists",IF(AND(E32&gt;=55,D32&lt;55),"High Earners Low Spend",IF(AND(E32&lt;55,D32&gt;=55),"Impulsive Buyers",IF(AND(E32&lt;40,D32&lt;40),"Budget Conscious","Mid-Market"))))</f>
        <v>Premium Loyalists</v>
      </c>
      <c r="I32" s="4"/>
    </row>
    <row r="33" spans="1:9">
      <c r="A33">
        <v>164</v>
      </c>
      <c r="B33" t="s">
        <v>7</v>
      </c>
      <c r="C33">
        <v>31</v>
      </c>
      <c r="D33">
        <v>81</v>
      </c>
      <c r="E33">
        <v>93</v>
      </c>
      <c r="F33" s="1" t="s">
        <v>16</v>
      </c>
      <c r="G33" t="str">
        <f>IF(AND(E33&gt;=55,D33&gt;=55),"Premium Loyalists",IF(AND(E33&gt;=55,D33&lt;55),"High Earners Low Spend",IF(AND(E33&lt;55,D33&gt;=55),"Impulsive Buyers",IF(AND(E33&lt;40,D33&lt;40),"Budget Conscious","Mid-Market"))))</f>
        <v>Premium Loyalists</v>
      </c>
      <c r="I33" s="4"/>
    </row>
    <row r="34" spans="1:9">
      <c r="A34">
        <v>166</v>
      </c>
      <c r="B34" t="s">
        <v>7</v>
      </c>
      <c r="C34">
        <v>36</v>
      </c>
      <c r="D34">
        <v>85</v>
      </c>
      <c r="E34">
        <v>75</v>
      </c>
      <c r="F34" s="1" t="s">
        <v>16</v>
      </c>
      <c r="G34" t="str">
        <f>IF(AND(E34&gt;=55,D34&gt;=55),"Premium Loyalists",IF(AND(E34&gt;=55,D34&lt;55),"High Earners Low Spend",IF(AND(E34&lt;55,D34&gt;=55),"Impulsive Buyers",IF(AND(E34&lt;40,D34&lt;40),"Budget Conscious","Mid-Market"))))</f>
        <v>Premium Loyalists</v>
      </c>
      <c r="I34" s="4"/>
    </row>
    <row r="35" spans="1:9">
      <c r="A35">
        <v>168</v>
      </c>
      <c r="B35" t="s">
        <v>7</v>
      </c>
      <c r="C35">
        <v>33</v>
      </c>
      <c r="D35">
        <v>86</v>
      </c>
      <c r="E35">
        <v>95</v>
      </c>
      <c r="F35" s="1" t="s">
        <v>16</v>
      </c>
      <c r="G35" t="str">
        <f>IF(AND(E35&gt;=55,D35&gt;=55),"Premium Loyalists",IF(AND(E35&gt;=55,D35&lt;55),"High Earners Low Spend",IF(AND(E35&lt;55,D35&gt;=55),"Impulsive Buyers",IF(AND(E35&lt;40,D35&lt;40),"Budget Conscious","Mid-Market"))))</f>
        <v>Premium Loyalists</v>
      </c>
      <c r="I35" s="4"/>
    </row>
    <row r="36" spans="1:9">
      <c r="A36">
        <v>170</v>
      </c>
      <c r="B36" t="s">
        <v>6</v>
      </c>
      <c r="C36">
        <v>32</v>
      </c>
      <c r="D36">
        <v>87</v>
      </c>
      <c r="E36">
        <v>63</v>
      </c>
      <c r="F36" s="1" t="s">
        <v>16</v>
      </c>
      <c r="G36" t="str">
        <f>IF(AND(E36&gt;=55,D36&gt;=55),"Premium Loyalists",IF(AND(E36&gt;=55,D36&lt;55),"High Earners Low Spend",IF(AND(E36&lt;55,D36&gt;=55),"Impulsive Buyers",IF(AND(E36&lt;40,D36&lt;40),"Budget Conscious","Mid-Market"))))</f>
        <v>Premium Loyalists</v>
      </c>
      <c r="I36" s="4"/>
    </row>
    <row r="37" spans="1:9">
      <c r="A37">
        <v>172</v>
      </c>
      <c r="B37" t="s">
        <v>6</v>
      </c>
      <c r="C37">
        <v>28</v>
      </c>
      <c r="D37">
        <v>87</v>
      </c>
      <c r="E37">
        <v>75</v>
      </c>
      <c r="F37" s="1" t="s">
        <v>16</v>
      </c>
      <c r="G37" t="str">
        <f>IF(AND(E37&gt;=55,D37&gt;=55),"Premium Loyalists",IF(AND(E37&gt;=55,D37&lt;55),"High Earners Low Spend",IF(AND(E37&lt;55,D37&gt;=55),"Impulsive Buyers",IF(AND(E37&lt;40,D37&lt;40),"Budget Conscious","Mid-Market"))))</f>
        <v>Premium Loyalists</v>
      </c>
      <c r="I37" s="4"/>
    </row>
    <row r="38" spans="1:9">
      <c r="A38">
        <v>174</v>
      </c>
      <c r="B38" t="s">
        <v>6</v>
      </c>
      <c r="C38">
        <v>36</v>
      </c>
      <c r="D38">
        <v>87</v>
      </c>
      <c r="E38">
        <v>92</v>
      </c>
      <c r="F38" s="1" t="s">
        <v>16</v>
      </c>
      <c r="G38" t="str">
        <f>IF(AND(E38&gt;=55,D38&gt;=55),"Premium Loyalists",IF(AND(E38&gt;=55,D38&lt;55),"High Earners Low Spend",IF(AND(E38&lt;55,D38&gt;=55),"Impulsive Buyers",IF(AND(E38&lt;40,D38&lt;40),"Budget Conscious","Mid-Market"))))</f>
        <v>Premium Loyalists</v>
      </c>
      <c r="I38" s="4"/>
    </row>
    <row r="39" spans="1:9">
      <c r="A39">
        <v>176</v>
      </c>
      <c r="B39" t="s">
        <v>7</v>
      </c>
      <c r="C39">
        <v>30</v>
      </c>
      <c r="D39">
        <v>88</v>
      </c>
      <c r="E39">
        <v>86</v>
      </c>
      <c r="F39" s="1" t="s">
        <v>16</v>
      </c>
      <c r="G39" t="str">
        <f>IF(AND(E39&gt;=55,D39&gt;=55),"Premium Loyalists",IF(AND(E39&gt;=55,D39&lt;55),"High Earners Low Spend",IF(AND(E39&lt;55,D39&gt;=55),"Impulsive Buyers",IF(AND(E39&lt;40,D39&lt;40),"Budget Conscious","Mid-Market"))))</f>
        <v>Premium Loyalists</v>
      </c>
      <c r="I39" s="4"/>
    </row>
    <row r="40" spans="1:9">
      <c r="A40">
        <v>178</v>
      </c>
      <c r="B40" t="s">
        <v>6</v>
      </c>
      <c r="C40">
        <v>27</v>
      </c>
      <c r="D40">
        <v>88</v>
      </c>
      <c r="E40">
        <v>69</v>
      </c>
      <c r="F40" s="1" t="s">
        <v>16</v>
      </c>
      <c r="G40" t="str">
        <f>IF(AND(E40&gt;=55,D40&gt;=55),"Premium Loyalists",IF(AND(E40&gt;=55,D40&lt;55),"High Earners Low Spend",IF(AND(E40&lt;55,D40&gt;=55),"Impulsive Buyers",IF(AND(E40&lt;40,D40&lt;40),"Budget Conscious","Mid-Market"))))</f>
        <v>Premium Loyalists</v>
      </c>
      <c r="I40" s="4"/>
    </row>
    <row r="41" spans="1:9">
      <c r="A41">
        <v>180</v>
      </c>
      <c r="B41" t="s">
        <v>6</v>
      </c>
      <c r="C41">
        <v>35</v>
      </c>
      <c r="D41">
        <v>93</v>
      </c>
      <c r="E41">
        <v>90</v>
      </c>
      <c r="F41" s="1" t="s">
        <v>16</v>
      </c>
      <c r="G41" t="str">
        <f>IF(AND(E41&gt;=55,D41&gt;=55),"Premium Loyalists",IF(AND(E41&gt;=55,D41&lt;55),"High Earners Low Spend",IF(AND(E41&lt;55,D41&gt;=55),"Impulsive Buyers",IF(AND(E41&lt;40,D41&lt;40),"Budget Conscious","Mid-Market"))))</f>
        <v>Premium Loyalists</v>
      </c>
      <c r="I41" s="4"/>
    </row>
    <row r="42" spans="1:9">
      <c r="A42">
        <v>182</v>
      </c>
      <c r="B42" t="s">
        <v>7</v>
      </c>
      <c r="C42">
        <v>32</v>
      </c>
      <c r="D42">
        <v>97</v>
      </c>
      <c r="E42">
        <v>86</v>
      </c>
      <c r="F42" s="1" t="s">
        <v>16</v>
      </c>
      <c r="G42" t="str">
        <f>IF(AND(E42&gt;=55,D42&gt;=55),"Premium Loyalists",IF(AND(E42&gt;=55,D42&lt;55),"High Earners Low Spend",IF(AND(E42&lt;55,D42&gt;=55),"Impulsive Buyers",IF(AND(E42&lt;40,D42&lt;40),"Budget Conscious","Mid-Market"))))</f>
        <v>Premium Loyalists</v>
      </c>
      <c r="I42" s="4"/>
    </row>
    <row r="43" spans="1:9">
      <c r="A43">
        <v>184</v>
      </c>
      <c r="B43" t="s">
        <v>7</v>
      </c>
      <c r="C43">
        <v>29</v>
      </c>
      <c r="D43">
        <v>98</v>
      </c>
      <c r="E43">
        <v>88</v>
      </c>
      <c r="F43" s="1" t="s">
        <v>16</v>
      </c>
      <c r="G43" t="str">
        <f>IF(AND(E43&gt;=55,D43&gt;=55),"Premium Loyalists",IF(AND(E43&gt;=55,D43&lt;55),"High Earners Low Spend",IF(AND(E43&lt;55,D43&gt;=55),"Impulsive Buyers",IF(AND(E43&lt;40,D43&lt;40),"Budget Conscious","Mid-Market"))))</f>
        <v>Premium Loyalists</v>
      </c>
      <c r="I43" s="4"/>
    </row>
    <row r="44" spans="1:9">
      <c r="A44">
        <v>186</v>
      </c>
      <c r="B44" t="s">
        <v>6</v>
      </c>
      <c r="C44">
        <v>30</v>
      </c>
      <c r="D44">
        <v>99</v>
      </c>
      <c r="E44">
        <v>97</v>
      </c>
      <c r="F44" s="1" t="s">
        <v>16</v>
      </c>
      <c r="G44" t="str">
        <f>IF(AND(E44&gt;=55,D44&gt;=55),"Premium Loyalists",IF(AND(E44&gt;=55,D44&lt;55),"High Earners Low Spend",IF(AND(E44&lt;55,D44&gt;=55),"Impulsive Buyers",IF(AND(E44&lt;40,D44&lt;40),"Budget Conscious","Mid-Market"))))</f>
        <v>Premium Loyalists</v>
      </c>
      <c r="I44" s="4"/>
    </row>
    <row r="45" spans="1:9">
      <c r="A45">
        <v>188</v>
      </c>
      <c r="B45" t="s">
        <v>6</v>
      </c>
      <c r="C45">
        <v>28</v>
      </c>
      <c r="D45">
        <v>101</v>
      </c>
      <c r="E45">
        <v>68</v>
      </c>
      <c r="F45" s="1" t="s">
        <v>16</v>
      </c>
      <c r="G45" t="str">
        <f>IF(AND(E45&gt;=55,D45&gt;=55),"Premium Loyalists",IF(AND(E45&gt;=55,D45&lt;55),"High Earners Low Spend",IF(AND(E45&lt;55,D45&gt;=55),"Impulsive Buyers",IF(AND(E45&lt;40,D45&lt;40),"Budget Conscious","Mid-Market"))))</f>
        <v>Premium Loyalists</v>
      </c>
      <c r="I45" s="4"/>
    </row>
    <row r="46" spans="1:9">
      <c r="A46">
        <v>190</v>
      </c>
      <c r="B46" t="s">
        <v>7</v>
      </c>
      <c r="C46">
        <v>36</v>
      </c>
      <c r="D46">
        <v>103</v>
      </c>
      <c r="E46">
        <v>85</v>
      </c>
      <c r="F46" s="1" t="s">
        <v>16</v>
      </c>
      <c r="G46" t="str">
        <f>IF(AND(E46&gt;=55,D46&gt;=55),"Premium Loyalists",IF(AND(E46&gt;=55,D46&lt;55),"High Earners Low Spend",IF(AND(E46&lt;55,D46&gt;=55),"Impulsive Buyers",IF(AND(E46&lt;40,D46&lt;40),"Budget Conscious","Mid-Market"))))</f>
        <v>Premium Loyalists</v>
      </c>
      <c r="I46" s="4"/>
    </row>
    <row r="47" spans="1:9">
      <c r="A47">
        <v>192</v>
      </c>
      <c r="B47" t="s">
        <v>7</v>
      </c>
      <c r="C47">
        <v>32</v>
      </c>
      <c r="D47">
        <v>103</v>
      </c>
      <c r="E47">
        <v>69</v>
      </c>
      <c r="F47" s="1" t="s">
        <v>16</v>
      </c>
      <c r="G47" t="str">
        <f>IF(AND(E47&gt;=55,D47&gt;=55),"Premium Loyalists",IF(AND(E47&gt;=55,D47&lt;55),"High Earners Low Spend",IF(AND(E47&lt;55,D47&gt;=55),"Impulsive Buyers",IF(AND(E47&lt;40,D47&lt;40),"Budget Conscious","Mid-Market"))))</f>
        <v>Premium Loyalists</v>
      </c>
      <c r="I47" s="4"/>
    </row>
    <row r="48" spans="1:9">
      <c r="A48">
        <v>194</v>
      </c>
      <c r="B48" t="s">
        <v>7</v>
      </c>
      <c r="C48">
        <v>38</v>
      </c>
      <c r="D48">
        <v>113</v>
      </c>
      <c r="E48">
        <v>91</v>
      </c>
      <c r="F48" s="1" t="s">
        <v>16</v>
      </c>
      <c r="G48" t="str">
        <f>IF(AND(E48&gt;=55,D48&gt;=55),"Premium Loyalists",IF(AND(E48&gt;=55,D48&lt;55),"High Earners Low Spend",IF(AND(E48&lt;55,D48&gt;=55),"Impulsive Buyers",IF(AND(E48&lt;40,D48&lt;40),"Budget Conscious","Mid-Market"))))</f>
        <v>Premium Loyalists</v>
      </c>
      <c r="I48" s="4"/>
    </row>
    <row r="49" spans="1:9">
      <c r="A49">
        <v>196</v>
      </c>
      <c r="B49" t="s">
        <v>7</v>
      </c>
      <c r="C49">
        <v>35</v>
      </c>
      <c r="D49">
        <v>120</v>
      </c>
      <c r="E49">
        <v>79</v>
      </c>
      <c r="F49" s="1" t="s">
        <v>16</v>
      </c>
      <c r="G49" t="str">
        <f>IF(AND(E49&gt;=55,D49&gt;=55),"Premium Loyalists",IF(AND(E49&gt;=55,D49&lt;55),"High Earners Low Spend",IF(AND(E49&lt;55,D49&gt;=55),"Impulsive Buyers",IF(AND(E49&lt;40,D49&lt;40),"Budget Conscious","Mid-Market"))))</f>
        <v>Premium Loyalists</v>
      </c>
      <c r="I49" s="4"/>
    </row>
    <row r="50" spans="1:9">
      <c r="A50">
        <v>198</v>
      </c>
      <c r="B50" t="s">
        <v>6</v>
      </c>
      <c r="C50">
        <v>32</v>
      </c>
      <c r="D50">
        <v>126</v>
      </c>
      <c r="E50">
        <v>74</v>
      </c>
      <c r="F50" s="1" t="s">
        <v>16</v>
      </c>
      <c r="G50" t="str">
        <f>IF(AND(E50&gt;=55,D50&gt;=55),"Premium Loyalists",IF(AND(E50&gt;=55,D50&lt;55),"High Earners Low Spend",IF(AND(E50&lt;55,D50&gt;=55),"Impulsive Buyers",IF(AND(E50&lt;40,D50&lt;40),"Budget Conscious","Mid-Market"))))</f>
        <v>Premium Loyalists</v>
      </c>
      <c r="I50" s="4"/>
    </row>
    <row r="51" spans="1:9">
      <c r="A51">
        <v>200</v>
      </c>
      <c r="B51" t="s">
        <v>6</v>
      </c>
      <c r="C51">
        <v>30</v>
      </c>
      <c r="D51">
        <v>137</v>
      </c>
      <c r="E51">
        <v>83</v>
      </c>
      <c r="F51" s="1" t="s">
        <v>16</v>
      </c>
      <c r="G51" t="str">
        <f>IF(AND(E51&gt;=55,D51&gt;=55),"Premium Loyalists",IF(AND(E51&gt;=55,D51&lt;55),"High Earners Low Spend",IF(AND(E51&lt;55,D51&gt;=55),"Impulsive Buyers",IF(AND(E51&lt;40,D51&lt;40),"Budget Conscious","Mid-Market"))))</f>
        <v>Premium Loyalists</v>
      </c>
      <c r="I51" s="4"/>
    </row>
    <row r="52" spans="1:9">
      <c r="A52">
        <v>5</v>
      </c>
      <c r="B52" t="s">
        <v>7</v>
      </c>
      <c r="C52">
        <v>31</v>
      </c>
      <c r="D52">
        <v>17</v>
      </c>
      <c r="E52">
        <v>40</v>
      </c>
      <c r="F52" s="1" t="s">
        <v>11</v>
      </c>
      <c r="G52" t="str">
        <f>IF(AND(E52&gt;=55,D52&gt;=55),"Premium Loyalists",IF(AND(E52&gt;=55,D52&lt;55),"High Earners Low Spend",IF(AND(E52&lt;55,D52&gt;=55),"Impulsive Buyers",IF(AND(E52&lt;40,D52&lt;40),"Budget Conscious","Mid-Market"))))</f>
        <v>Mid-Market</v>
      </c>
      <c r="I52" s="4"/>
    </row>
    <row r="53" spans="1:9">
      <c r="A53">
        <v>48</v>
      </c>
      <c r="B53" t="s">
        <v>7</v>
      </c>
      <c r="C53">
        <v>27</v>
      </c>
      <c r="D53">
        <v>40</v>
      </c>
      <c r="E53">
        <v>47</v>
      </c>
      <c r="F53" s="1" t="s">
        <v>13</v>
      </c>
      <c r="G53" t="str">
        <f>IF(AND(E53&gt;=55,D53&gt;=55),"Premium Loyalists",IF(AND(E53&gt;=55,D53&lt;55),"High Earners Low Spend",IF(AND(E53&lt;55,D53&gt;=55),"Impulsive Buyers",IF(AND(E53&lt;40,D53&lt;40),"Budget Conscious","Mid-Market"))))</f>
        <v>Mid-Market</v>
      </c>
      <c r="I53" s="4"/>
    </row>
    <row r="54" spans="1:9">
      <c r="A54">
        <v>49</v>
      </c>
      <c r="B54" t="s">
        <v>7</v>
      </c>
      <c r="C54">
        <v>29</v>
      </c>
      <c r="D54">
        <v>40</v>
      </c>
      <c r="E54">
        <v>42</v>
      </c>
      <c r="F54" s="1" t="s">
        <v>13</v>
      </c>
      <c r="G54" t="str">
        <f>IF(AND(E54&gt;=55,D54&gt;=55),"Premium Loyalists",IF(AND(E54&gt;=55,D54&lt;55),"High Earners Low Spend",IF(AND(E54&lt;55,D54&gt;=55),"Impulsive Buyers",IF(AND(E54&lt;40,D54&lt;40),"Budget Conscious","Mid-Market"))))</f>
        <v>Mid-Market</v>
      </c>
      <c r="I54" s="4"/>
    </row>
    <row r="55" spans="1:9">
      <c r="A55">
        <v>50</v>
      </c>
      <c r="B55" t="s">
        <v>7</v>
      </c>
      <c r="C55">
        <v>31</v>
      </c>
      <c r="D55">
        <v>40</v>
      </c>
      <c r="E55">
        <v>42</v>
      </c>
      <c r="F55" s="1" t="s">
        <v>13</v>
      </c>
      <c r="G55" t="str">
        <f>IF(AND(E55&gt;=55,D55&gt;=55),"Premium Loyalists",IF(AND(E55&gt;=55,D55&lt;55),"High Earners Low Spend",IF(AND(E55&lt;55,D55&gt;=55),"Impulsive Buyers",IF(AND(E55&lt;40,D55&lt;40),"Budget Conscious","Mid-Market"))))</f>
        <v>Mid-Market</v>
      </c>
      <c r="I55" s="4"/>
    </row>
    <row r="56" spans="1:9">
      <c r="A56">
        <v>51</v>
      </c>
      <c r="B56" t="s">
        <v>7</v>
      </c>
      <c r="C56">
        <v>49</v>
      </c>
      <c r="D56">
        <v>42</v>
      </c>
      <c r="E56">
        <v>52</v>
      </c>
      <c r="F56" s="1" t="s">
        <v>13</v>
      </c>
      <c r="G56" t="str">
        <f>IF(AND(E56&gt;=55,D56&gt;=55),"Premium Loyalists",IF(AND(E56&gt;=55,D56&lt;55),"High Earners Low Spend",IF(AND(E56&lt;55,D56&gt;=55),"Impulsive Buyers",IF(AND(E56&lt;40,D56&lt;40),"Budget Conscious","Mid-Market"))))</f>
        <v>Mid-Market</v>
      </c>
      <c r="I56" s="4"/>
    </row>
    <row r="57" spans="1:9">
      <c r="A57">
        <v>53</v>
      </c>
      <c r="B57" t="s">
        <v>7</v>
      </c>
      <c r="C57">
        <v>31</v>
      </c>
      <c r="D57">
        <v>43</v>
      </c>
      <c r="E57">
        <v>54</v>
      </c>
      <c r="F57" s="1" t="s">
        <v>13</v>
      </c>
      <c r="G57" t="str">
        <f>IF(AND(E57&gt;=55,D57&gt;=55),"Premium Loyalists",IF(AND(E57&gt;=55,D57&lt;55),"High Earners Low Spend",IF(AND(E57&lt;55,D57&gt;=55),"Impulsive Buyers",IF(AND(E57&lt;40,D57&lt;40),"Budget Conscious","Mid-Market"))))</f>
        <v>Mid-Market</v>
      </c>
      <c r="I57" s="4"/>
    </row>
    <row r="58" spans="1:9">
      <c r="A58">
        <v>55</v>
      </c>
      <c r="B58" t="s">
        <v>7</v>
      </c>
      <c r="C58">
        <v>50</v>
      </c>
      <c r="D58">
        <v>43</v>
      </c>
      <c r="E58">
        <v>45</v>
      </c>
      <c r="F58" s="1" t="s">
        <v>13</v>
      </c>
      <c r="G58" t="str">
        <f>IF(AND(E58&gt;=55,D58&gt;=55),"Premium Loyalists",IF(AND(E58&gt;=55,D58&lt;55),"High Earners Low Spend",IF(AND(E58&lt;55,D58&gt;=55),"Impulsive Buyers",IF(AND(E58&lt;40,D58&lt;40),"Budget Conscious","Mid-Market"))))</f>
        <v>Mid-Market</v>
      </c>
      <c r="I58" s="4"/>
    </row>
    <row r="59" spans="1:9">
      <c r="A59">
        <v>56</v>
      </c>
      <c r="B59" t="s">
        <v>6</v>
      </c>
      <c r="C59">
        <v>47</v>
      </c>
      <c r="D59">
        <v>43</v>
      </c>
      <c r="E59">
        <v>41</v>
      </c>
      <c r="F59" s="1" t="s">
        <v>13</v>
      </c>
      <c r="G59" t="str">
        <f>IF(AND(E59&gt;=55,D59&gt;=55),"Premium Loyalists",IF(AND(E59&gt;=55,D59&lt;55),"High Earners Low Spend",IF(AND(E59&lt;55,D59&gt;=55),"Impulsive Buyers",IF(AND(E59&lt;40,D59&lt;40),"Budget Conscious","Mid-Market"))))</f>
        <v>Mid-Market</v>
      </c>
      <c r="I59" s="4"/>
    </row>
    <row r="60" spans="1:9">
      <c r="A60">
        <v>57</v>
      </c>
      <c r="B60" t="s">
        <v>7</v>
      </c>
      <c r="C60">
        <v>51</v>
      </c>
      <c r="D60">
        <v>44</v>
      </c>
      <c r="E60">
        <v>50</v>
      </c>
      <c r="F60" s="1" t="s">
        <v>13</v>
      </c>
      <c r="G60" t="str">
        <f>IF(AND(E60&gt;=55,D60&gt;=55),"Premium Loyalists",IF(AND(E60&gt;=55,D60&lt;55),"High Earners Low Spend",IF(AND(E60&lt;55,D60&gt;=55),"Impulsive Buyers",IF(AND(E60&lt;40,D60&lt;40),"Budget Conscious","Mid-Market"))))</f>
        <v>Mid-Market</v>
      </c>
      <c r="I60" s="4"/>
    </row>
    <row r="61" spans="1:9">
      <c r="A61">
        <v>58</v>
      </c>
      <c r="B61" t="s">
        <v>6</v>
      </c>
      <c r="C61">
        <v>69</v>
      </c>
      <c r="D61">
        <v>44</v>
      </c>
      <c r="E61">
        <v>46</v>
      </c>
      <c r="F61" s="1" t="s">
        <v>13</v>
      </c>
      <c r="G61" t="str">
        <f>IF(AND(E61&gt;=55,D61&gt;=55),"Premium Loyalists",IF(AND(E61&gt;=55,D61&lt;55),"High Earners Low Spend",IF(AND(E61&lt;55,D61&gt;=55),"Impulsive Buyers",IF(AND(E61&lt;40,D61&lt;40),"Budget Conscious","Mid-Market"))))</f>
        <v>Mid-Market</v>
      </c>
      <c r="I61" s="4"/>
    </row>
    <row r="62" spans="1:9">
      <c r="A62">
        <v>59</v>
      </c>
      <c r="B62" t="s">
        <v>7</v>
      </c>
      <c r="C62">
        <v>27</v>
      </c>
      <c r="D62">
        <v>46</v>
      </c>
      <c r="E62">
        <v>51</v>
      </c>
      <c r="F62" s="1" t="s">
        <v>15</v>
      </c>
      <c r="G62" t="str">
        <f>IF(AND(E62&gt;=55,D62&gt;=55),"Premium Loyalists",IF(AND(E62&gt;=55,D62&lt;55),"High Earners Low Spend",IF(AND(E62&lt;55,D62&gt;=55),"Impulsive Buyers",IF(AND(E62&lt;40,D62&lt;40),"Budget Conscious","Mid-Market"))))</f>
        <v>Mid-Market</v>
      </c>
      <c r="I62" s="4"/>
    </row>
    <row r="63" spans="1:9">
      <c r="A63">
        <v>60</v>
      </c>
      <c r="B63" t="s">
        <v>6</v>
      </c>
      <c r="C63">
        <v>53</v>
      </c>
      <c r="D63">
        <v>46</v>
      </c>
      <c r="E63">
        <v>46</v>
      </c>
      <c r="F63" s="1" t="s">
        <v>15</v>
      </c>
      <c r="G63" t="str">
        <f>IF(AND(E63&gt;=55,D63&gt;=55),"Premium Loyalists",IF(AND(E63&gt;=55,D63&lt;55),"High Earners Low Spend",IF(AND(E63&lt;55,D63&gt;=55),"Impulsive Buyers",IF(AND(E63&lt;40,D63&lt;40),"Budget Conscious","Mid-Market"))))</f>
        <v>Mid-Market</v>
      </c>
      <c r="I63" s="4"/>
    </row>
    <row r="64" spans="1:9">
      <c r="A64">
        <v>63</v>
      </c>
      <c r="B64" t="s">
        <v>7</v>
      </c>
      <c r="C64">
        <v>67</v>
      </c>
      <c r="D64">
        <v>47</v>
      </c>
      <c r="E64">
        <v>52</v>
      </c>
      <c r="F64" s="1" t="s">
        <v>15</v>
      </c>
      <c r="G64" t="str">
        <f>IF(AND(E64&gt;=55,D64&gt;=55),"Premium Loyalists",IF(AND(E64&gt;=55,D64&lt;55),"High Earners Low Spend",IF(AND(E64&lt;55,D64&gt;=55),"Impulsive Buyers",IF(AND(E64&lt;40,D64&lt;40),"Budget Conscious","Mid-Market"))))</f>
        <v>Mid-Market</v>
      </c>
      <c r="I64" s="4"/>
    </row>
    <row r="65" spans="1:9">
      <c r="A65">
        <v>65</v>
      </c>
      <c r="B65" t="s">
        <v>6</v>
      </c>
      <c r="C65">
        <v>63</v>
      </c>
      <c r="D65">
        <v>48</v>
      </c>
      <c r="E65">
        <v>51</v>
      </c>
      <c r="F65" s="1" t="s">
        <v>15</v>
      </c>
      <c r="G65" t="str">
        <f>IF(AND(E65&gt;=55,D65&gt;=55),"Premium Loyalists",IF(AND(E65&gt;=55,D65&lt;55),"High Earners Low Spend",IF(AND(E65&lt;55,D65&gt;=55),"Impulsive Buyers",IF(AND(E65&lt;40,D65&lt;40),"Budget Conscious","Mid-Market"))))</f>
        <v>Mid-Market</v>
      </c>
      <c r="I65" s="4"/>
    </row>
    <row r="66" spans="1:9">
      <c r="A66">
        <v>67</v>
      </c>
      <c r="B66" t="s">
        <v>7</v>
      </c>
      <c r="C66">
        <v>43</v>
      </c>
      <c r="D66">
        <v>48</v>
      </c>
      <c r="E66">
        <v>50</v>
      </c>
      <c r="F66" s="1" t="s">
        <v>15</v>
      </c>
      <c r="G66" t="str">
        <f>IF(AND(E66&gt;=55,D66&gt;=55),"Premium Loyalists",IF(AND(E66&gt;=55,D66&lt;55),"High Earners Low Spend",IF(AND(E66&lt;55,D66&gt;=55),"Impulsive Buyers",IF(AND(E66&lt;40,D66&lt;40),"Budget Conscious","Mid-Market"))))</f>
        <v>Mid-Market</v>
      </c>
      <c r="I66" s="4"/>
    </row>
    <row r="67" spans="1:9">
      <c r="A67">
        <v>68</v>
      </c>
      <c r="B67" t="s">
        <v>7</v>
      </c>
      <c r="C67">
        <v>68</v>
      </c>
      <c r="D67">
        <v>48</v>
      </c>
      <c r="E67">
        <v>48</v>
      </c>
      <c r="F67" s="1" t="s">
        <v>15</v>
      </c>
      <c r="G67" t="str">
        <f>IF(AND(E67&gt;=55,D67&gt;=55),"Premium Loyalists",IF(AND(E67&gt;=55,D67&lt;55),"High Earners Low Spend",IF(AND(E67&lt;55,D67&gt;=55),"Impulsive Buyers",IF(AND(E67&lt;40,D67&lt;40),"Budget Conscious","Mid-Market"))))</f>
        <v>Mid-Market</v>
      </c>
      <c r="I67" s="4"/>
    </row>
    <row r="68" spans="1:9">
      <c r="A68">
        <v>70</v>
      </c>
      <c r="B68" t="s">
        <v>7</v>
      </c>
      <c r="C68">
        <v>32</v>
      </c>
      <c r="D68">
        <v>48</v>
      </c>
      <c r="E68">
        <v>47</v>
      </c>
      <c r="F68" s="1" t="s">
        <v>15</v>
      </c>
      <c r="G68" t="str">
        <f>IF(AND(E68&gt;=55,D68&gt;=55),"Premium Loyalists",IF(AND(E68&gt;=55,D68&lt;55),"High Earners Low Spend",IF(AND(E68&lt;55,D68&gt;=55),"Impulsive Buyers",IF(AND(E68&lt;40,D68&lt;40),"Budget Conscious","Mid-Market"))))</f>
        <v>Mid-Market</v>
      </c>
      <c r="I68" s="4"/>
    </row>
    <row r="69" spans="1:9">
      <c r="A69">
        <v>72</v>
      </c>
      <c r="B69" t="s">
        <v>7</v>
      </c>
      <c r="C69">
        <v>47</v>
      </c>
      <c r="D69">
        <v>49</v>
      </c>
      <c r="E69">
        <v>42</v>
      </c>
      <c r="F69" s="1" t="s">
        <v>15</v>
      </c>
      <c r="G69" t="str">
        <f>IF(AND(E69&gt;=55,D69&gt;=55),"Premium Loyalists",IF(AND(E69&gt;=55,D69&lt;55),"High Earners Low Spend",IF(AND(E69&lt;55,D69&gt;=55),"Impulsive Buyers",IF(AND(E69&lt;40,D69&lt;40),"Budget Conscious","Mid-Market"))))</f>
        <v>Mid-Market</v>
      </c>
      <c r="I69" s="4"/>
    </row>
    <row r="70" spans="1:9">
      <c r="A70">
        <v>73</v>
      </c>
      <c r="B70" t="s">
        <v>7</v>
      </c>
      <c r="C70">
        <v>60</v>
      </c>
      <c r="D70">
        <v>50</v>
      </c>
      <c r="E70">
        <v>49</v>
      </c>
      <c r="F70" s="1" t="s">
        <v>15</v>
      </c>
      <c r="G70" t="str">
        <f>IF(AND(E70&gt;=55,D70&gt;=55),"Premium Loyalists",IF(AND(E70&gt;=55,D70&lt;55),"High Earners Low Spend",IF(AND(E70&lt;55,D70&gt;=55),"Impulsive Buyers",IF(AND(E70&lt;40,D70&lt;40),"Budget Conscious","Mid-Market"))))</f>
        <v>Mid-Market</v>
      </c>
      <c r="I70" s="4"/>
    </row>
    <row r="71" spans="1:9">
      <c r="A71">
        <v>75</v>
      </c>
      <c r="B71" t="s">
        <v>6</v>
      </c>
      <c r="C71">
        <v>59</v>
      </c>
      <c r="D71">
        <v>54</v>
      </c>
      <c r="E71">
        <v>47</v>
      </c>
      <c r="F71" s="1" t="s">
        <v>15</v>
      </c>
      <c r="G71" t="str">
        <f>IF(AND(E71&gt;=55,D71&gt;=55),"Premium Loyalists",IF(AND(E71&gt;=55,D71&lt;55),"High Earners Low Spend",IF(AND(E71&lt;55,D71&gt;=55),"Impulsive Buyers",IF(AND(E71&lt;40,D71&lt;40),"Budget Conscious","Mid-Market"))))</f>
        <v>Mid-Market</v>
      </c>
      <c r="I71" s="4"/>
    </row>
    <row r="72" spans="1:9">
      <c r="A72">
        <v>76</v>
      </c>
      <c r="B72" t="s">
        <v>6</v>
      </c>
      <c r="C72">
        <v>26</v>
      </c>
      <c r="D72">
        <v>54</v>
      </c>
      <c r="E72">
        <v>54</v>
      </c>
      <c r="F72" s="1" t="s">
        <v>15</v>
      </c>
      <c r="G72" t="str">
        <f>IF(AND(E72&gt;=55,D72&gt;=55),"Premium Loyalists",IF(AND(E72&gt;=55,D72&lt;55),"High Earners Low Spend",IF(AND(E72&lt;55,D72&gt;=55),"Impulsive Buyers",IF(AND(E72&lt;40,D72&lt;40),"Budget Conscious","Mid-Market"))))</f>
        <v>Mid-Market</v>
      </c>
      <c r="I72" s="4"/>
    </row>
    <row r="73" spans="1:9">
      <c r="A73">
        <v>77</v>
      </c>
      <c r="B73" t="s">
        <v>7</v>
      </c>
      <c r="C73">
        <v>45</v>
      </c>
      <c r="D73">
        <v>54</v>
      </c>
      <c r="E73">
        <v>53</v>
      </c>
      <c r="F73" s="1" t="s">
        <v>15</v>
      </c>
      <c r="G73" t="str">
        <f>IF(AND(E73&gt;=55,D73&gt;=55),"Premium Loyalists",IF(AND(E73&gt;=55,D73&lt;55),"High Earners Low Spend",IF(AND(E73&lt;55,D73&gt;=55),"Impulsive Buyers",IF(AND(E73&lt;40,D73&lt;40),"Budget Conscious","Mid-Market"))))</f>
        <v>Mid-Market</v>
      </c>
      <c r="I73" s="4"/>
    </row>
    <row r="74" spans="1:9">
      <c r="A74">
        <v>78</v>
      </c>
      <c r="B74" t="s">
        <v>6</v>
      </c>
      <c r="C74">
        <v>40</v>
      </c>
      <c r="D74">
        <v>54</v>
      </c>
      <c r="E74">
        <v>48</v>
      </c>
      <c r="F74" s="1" t="s">
        <v>15</v>
      </c>
      <c r="G74" t="str">
        <f>IF(AND(E74&gt;=55,D74&gt;=55),"Premium Loyalists",IF(AND(E74&gt;=55,D74&lt;55),"High Earners Low Spend",IF(AND(E74&lt;55,D74&gt;=55),"Impulsive Buyers",IF(AND(E74&lt;40,D74&lt;40),"Budget Conscious","Mid-Market"))))</f>
        <v>Mid-Market</v>
      </c>
      <c r="I74" s="4"/>
    </row>
    <row r="75" spans="1:9">
      <c r="A75">
        <v>79</v>
      </c>
      <c r="B75" t="s">
        <v>7</v>
      </c>
      <c r="C75">
        <v>23</v>
      </c>
      <c r="D75">
        <v>54</v>
      </c>
      <c r="E75">
        <v>52</v>
      </c>
      <c r="F75" s="1" t="s">
        <v>15</v>
      </c>
      <c r="G75" t="str">
        <f>IF(AND(E75&gt;=55,D75&gt;=55),"Premium Loyalists",IF(AND(E75&gt;=55,D75&lt;55),"High Earners Low Spend",IF(AND(E75&lt;55,D75&gt;=55),"Impulsive Buyers",IF(AND(E75&lt;40,D75&lt;40),"Budget Conscious","Mid-Market"))))</f>
        <v>Mid-Market</v>
      </c>
      <c r="I75" s="4"/>
    </row>
    <row r="76" spans="1:9">
      <c r="A76">
        <v>80</v>
      </c>
      <c r="B76" t="s">
        <v>7</v>
      </c>
      <c r="C76">
        <v>49</v>
      </c>
      <c r="D76">
        <v>54</v>
      </c>
      <c r="E76">
        <v>42</v>
      </c>
      <c r="F76" s="1" t="s">
        <v>15</v>
      </c>
      <c r="G76" t="str">
        <f>IF(AND(E76&gt;=55,D76&gt;=55),"Premium Loyalists",IF(AND(E76&gt;=55,D76&lt;55),"High Earners Low Spend",IF(AND(E76&lt;55,D76&gt;=55),"Impulsive Buyers",IF(AND(E76&lt;40,D76&lt;40),"Budget Conscious","Mid-Market"))))</f>
        <v>Mid-Market</v>
      </c>
      <c r="I76" s="4"/>
    </row>
    <row r="77" spans="1:9">
      <c r="A77">
        <v>81</v>
      </c>
      <c r="B77" t="s">
        <v>6</v>
      </c>
      <c r="C77">
        <v>57</v>
      </c>
      <c r="D77">
        <v>54</v>
      </c>
      <c r="E77">
        <v>51</v>
      </c>
      <c r="F77" s="1" t="s">
        <v>15</v>
      </c>
      <c r="G77" t="str">
        <f>IF(AND(E77&gt;=55,D77&gt;=55),"Premium Loyalists",IF(AND(E77&gt;=55,D77&lt;55),"High Earners Low Spend",IF(AND(E77&lt;55,D77&gt;=55),"Impulsive Buyers",IF(AND(E77&lt;40,D77&lt;40),"Budget Conscious","Mid-Market"))))</f>
        <v>Mid-Market</v>
      </c>
      <c r="I77" s="4"/>
    </row>
    <row r="78" spans="1:9">
      <c r="A78">
        <v>83</v>
      </c>
      <c r="B78" t="s">
        <v>6</v>
      </c>
      <c r="C78">
        <v>67</v>
      </c>
      <c r="D78">
        <v>54</v>
      </c>
      <c r="E78">
        <v>41</v>
      </c>
      <c r="F78" s="1" t="s">
        <v>15</v>
      </c>
      <c r="G78" t="str">
        <f>IF(AND(E78&gt;=55,D78&gt;=55),"Premium Loyalists",IF(AND(E78&gt;=55,D78&lt;55),"High Earners Low Spend",IF(AND(E78&lt;55,D78&gt;=55),"Impulsive Buyers",IF(AND(E78&lt;40,D78&lt;40),"Budget Conscious","Mid-Market"))))</f>
        <v>Mid-Market</v>
      </c>
      <c r="I78" s="4"/>
    </row>
    <row r="79" spans="1:9">
      <c r="A79">
        <v>84</v>
      </c>
      <c r="B79" t="s">
        <v>7</v>
      </c>
      <c r="C79">
        <v>46</v>
      </c>
      <c r="D79">
        <v>54</v>
      </c>
      <c r="E79">
        <v>44</v>
      </c>
      <c r="F79" s="1" t="s">
        <v>15</v>
      </c>
      <c r="G79" t="str">
        <f>IF(AND(E79&gt;=55,D79&gt;=55),"Premium Loyalists",IF(AND(E79&gt;=55,D79&lt;55),"High Earners Low Spend",IF(AND(E79&lt;55,D79&gt;=55),"Impulsive Buyers",IF(AND(E79&lt;40,D79&lt;40),"Budget Conscious","Mid-Market"))))</f>
        <v>Mid-Market</v>
      </c>
      <c r="I79" s="4"/>
    </row>
    <row r="80" spans="1:9">
      <c r="A80">
        <v>86</v>
      </c>
      <c r="B80" t="s">
        <v>6</v>
      </c>
      <c r="C80">
        <v>48</v>
      </c>
      <c r="D80">
        <v>54</v>
      </c>
      <c r="E80">
        <v>46</v>
      </c>
      <c r="F80" s="1" t="s">
        <v>15</v>
      </c>
      <c r="G80" t="str">
        <f>IF(AND(E80&gt;=55,D80&gt;=55),"Premium Loyalists",IF(AND(E80&gt;=55,D80&lt;55),"High Earners Low Spend",IF(AND(E80&lt;55,D80&gt;=55),"Impulsive Buyers",IF(AND(E80&lt;40,D80&lt;40),"Budget Conscious","Mid-Market"))))</f>
        <v>Mid-Market</v>
      </c>
      <c r="I80" s="4"/>
    </row>
    <row r="81" spans="1:9">
      <c r="A81">
        <v>90</v>
      </c>
      <c r="B81" t="s">
        <v>7</v>
      </c>
      <c r="C81">
        <v>50</v>
      </c>
      <c r="D81">
        <v>58</v>
      </c>
      <c r="E81">
        <v>46</v>
      </c>
      <c r="F81" s="1" t="s">
        <v>16</v>
      </c>
      <c r="G81" t="str">
        <f>IF(AND(E81&gt;=55,D81&gt;=55),"Premium Loyalists",IF(AND(E81&gt;=55,D81&lt;55),"High Earners Low Spend",IF(AND(E81&lt;55,D81&gt;=55),"Impulsive Buyers",IF(AND(E81&lt;40,D81&lt;40),"Budget Conscious","Mid-Market"))))</f>
        <v>Impulsive Buyers</v>
      </c>
      <c r="I81" s="4"/>
    </row>
    <row r="82" spans="1:9">
      <c r="A82">
        <v>92</v>
      </c>
      <c r="B82" t="s">
        <v>6</v>
      </c>
      <c r="C82">
        <v>18</v>
      </c>
      <c r="D82">
        <v>59</v>
      </c>
      <c r="E82">
        <v>41</v>
      </c>
      <c r="F82" s="1" t="s">
        <v>16</v>
      </c>
      <c r="G82" t="str">
        <f>IF(AND(E82&gt;=55,D82&gt;=55),"Premium Loyalists",IF(AND(E82&gt;=55,D82&lt;55),"High Earners Low Spend",IF(AND(E82&lt;55,D82&gt;=55),"Impulsive Buyers",IF(AND(E82&lt;40,D82&lt;40),"Budget Conscious","Mid-Market"))))</f>
        <v>Impulsive Buyers</v>
      </c>
      <c r="I82" s="4"/>
    </row>
    <row r="83" spans="1:9">
      <c r="A83">
        <v>93</v>
      </c>
      <c r="B83" t="s">
        <v>6</v>
      </c>
      <c r="C83">
        <v>48</v>
      </c>
      <c r="D83">
        <v>60</v>
      </c>
      <c r="E83">
        <v>49</v>
      </c>
      <c r="F83" s="1" t="s">
        <v>16</v>
      </c>
      <c r="G83" t="str">
        <f>IF(AND(E83&gt;=55,D83&gt;=55),"Premium Loyalists",IF(AND(E83&gt;=55,D83&lt;55),"High Earners Low Spend",IF(AND(E83&lt;55,D83&gt;=55),"Impulsive Buyers",IF(AND(E83&lt;40,D83&lt;40),"Budget Conscious","Mid-Market"))))</f>
        <v>Impulsive Buyers</v>
      </c>
      <c r="I83" s="4"/>
    </row>
    <row r="84" spans="1:9">
      <c r="A84">
        <v>94</v>
      </c>
      <c r="B84" t="s">
        <v>7</v>
      </c>
      <c r="C84">
        <v>40</v>
      </c>
      <c r="D84">
        <v>60</v>
      </c>
      <c r="E84">
        <v>40</v>
      </c>
      <c r="F84" s="1" t="s">
        <v>16</v>
      </c>
      <c r="G84" t="str">
        <f>IF(AND(E84&gt;=55,D84&gt;=55),"Premium Loyalists",IF(AND(E84&gt;=55,D84&lt;55),"High Earners Low Spend",IF(AND(E84&lt;55,D84&gt;=55),"Impulsive Buyers",IF(AND(E84&lt;40,D84&lt;40),"Budget Conscious","Mid-Market"))))</f>
        <v>Impulsive Buyers</v>
      </c>
      <c r="I84" s="4"/>
    </row>
    <row r="85" spans="1:9">
      <c r="A85">
        <v>95</v>
      </c>
      <c r="B85" t="s">
        <v>7</v>
      </c>
      <c r="C85">
        <v>32</v>
      </c>
      <c r="D85">
        <v>60</v>
      </c>
      <c r="E85">
        <v>42</v>
      </c>
      <c r="F85" s="1" t="s">
        <v>16</v>
      </c>
      <c r="G85" t="str">
        <f>IF(AND(E85&gt;=55,D85&gt;=55),"Premium Loyalists",IF(AND(E85&gt;=55,D85&lt;55),"High Earners Low Spend",IF(AND(E85&lt;55,D85&gt;=55),"Impulsive Buyers",IF(AND(E85&lt;40,D85&lt;40),"Budget Conscious","Mid-Market"))))</f>
        <v>Impulsive Buyers</v>
      </c>
      <c r="I85" s="4"/>
    </row>
    <row r="86" spans="1:9">
      <c r="A86">
        <v>96</v>
      </c>
      <c r="B86" t="s">
        <v>6</v>
      </c>
      <c r="C86">
        <v>24</v>
      </c>
      <c r="D86">
        <v>60</v>
      </c>
      <c r="E86">
        <v>52</v>
      </c>
      <c r="F86" s="1" t="s">
        <v>16</v>
      </c>
      <c r="G86" t="str">
        <f>IF(AND(E86&gt;=55,D86&gt;=55),"Premium Loyalists",IF(AND(E86&gt;=55,D86&lt;55),"High Earners Low Spend",IF(AND(E86&lt;55,D86&gt;=55),"Impulsive Buyers",IF(AND(E86&lt;40,D86&lt;40),"Budget Conscious","Mid-Market"))))</f>
        <v>Impulsive Buyers</v>
      </c>
      <c r="I86" s="4"/>
    </row>
    <row r="87" spans="1:9">
      <c r="A87">
        <v>97</v>
      </c>
      <c r="B87" t="s">
        <v>7</v>
      </c>
      <c r="C87">
        <v>47</v>
      </c>
      <c r="D87">
        <v>60</v>
      </c>
      <c r="E87">
        <v>47</v>
      </c>
      <c r="F87" s="1" t="s">
        <v>16</v>
      </c>
      <c r="G87" t="str">
        <f>IF(AND(E87&gt;=55,D87&gt;=55),"Premium Loyalists",IF(AND(E87&gt;=55,D87&lt;55),"High Earners Low Spend",IF(AND(E87&lt;55,D87&gt;=55),"Impulsive Buyers",IF(AND(E87&lt;40,D87&lt;40),"Budget Conscious","Mid-Market"))))</f>
        <v>Impulsive Buyers</v>
      </c>
      <c r="I87" s="4"/>
    </row>
    <row r="88" spans="1:9">
      <c r="A88">
        <v>98</v>
      </c>
      <c r="B88" t="s">
        <v>7</v>
      </c>
      <c r="C88">
        <v>27</v>
      </c>
      <c r="D88">
        <v>60</v>
      </c>
      <c r="E88">
        <v>50</v>
      </c>
      <c r="F88" s="1" t="s">
        <v>16</v>
      </c>
      <c r="G88" t="str">
        <f>IF(AND(E88&gt;=55,D88&gt;=55),"Premium Loyalists",IF(AND(E88&gt;=55,D88&lt;55),"High Earners Low Spend",IF(AND(E88&lt;55,D88&gt;=55),"Impulsive Buyers",IF(AND(E88&lt;40,D88&lt;40),"Budget Conscious","Mid-Market"))))</f>
        <v>Impulsive Buyers</v>
      </c>
      <c r="I88" s="4"/>
    </row>
    <row r="89" spans="1:9">
      <c r="A89">
        <v>99</v>
      </c>
      <c r="B89" t="s">
        <v>6</v>
      </c>
      <c r="C89">
        <v>48</v>
      </c>
      <c r="D89">
        <v>61</v>
      </c>
      <c r="E89">
        <v>42</v>
      </c>
      <c r="F89" s="1" t="s">
        <v>16</v>
      </c>
      <c r="G89" t="str">
        <f>IF(AND(E89&gt;=55,D89&gt;=55),"Premium Loyalists",IF(AND(E89&gt;=55,D89&lt;55),"High Earners Low Spend",IF(AND(E89&lt;55,D89&gt;=55),"Impulsive Buyers",IF(AND(E89&lt;40,D89&lt;40),"Budget Conscious","Mid-Market"))))</f>
        <v>Impulsive Buyers</v>
      </c>
      <c r="I89" s="4"/>
    </row>
    <row r="90" spans="1:9">
      <c r="A90">
        <v>100</v>
      </c>
      <c r="B90" t="s">
        <v>6</v>
      </c>
      <c r="C90">
        <v>20</v>
      </c>
      <c r="D90">
        <v>61</v>
      </c>
      <c r="E90">
        <v>49</v>
      </c>
      <c r="F90" s="1" t="s">
        <v>16</v>
      </c>
      <c r="G90" t="str">
        <f>IF(AND(E90&gt;=55,D90&gt;=55),"Premium Loyalists",IF(AND(E90&gt;=55,D90&lt;55),"High Earners Low Spend",IF(AND(E90&lt;55,D90&gt;=55),"Impulsive Buyers",IF(AND(E90&lt;40,D90&lt;40),"Budget Conscious","Mid-Market"))))</f>
        <v>Impulsive Buyers</v>
      </c>
      <c r="I90" s="4"/>
    </row>
    <row r="91" spans="1:9">
      <c r="A91">
        <v>101</v>
      </c>
      <c r="B91" t="s">
        <v>7</v>
      </c>
      <c r="C91">
        <v>23</v>
      </c>
      <c r="D91">
        <v>62</v>
      </c>
      <c r="E91">
        <v>41</v>
      </c>
      <c r="F91" s="1" t="s">
        <v>16</v>
      </c>
      <c r="G91" t="str">
        <f>IF(AND(E91&gt;=55,D91&gt;=55),"Premium Loyalists",IF(AND(E91&gt;=55,D91&lt;55),"High Earners Low Spend",IF(AND(E91&lt;55,D91&gt;=55),"Impulsive Buyers",IF(AND(E91&lt;40,D91&lt;40),"Budget Conscious","Mid-Market"))))</f>
        <v>Impulsive Buyers</v>
      </c>
      <c r="I91" s="4"/>
    </row>
    <row r="92" spans="1:9">
      <c r="A92">
        <v>102</v>
      </c>
      <c r="B92" t="s">
        <v>7</v>
      </c>
      <c r="C92">
        <v>49</v>
      </c>
      <c r="D92">
        <v>62</v>
      </c>
      <c r="E92">
        <v>48</v>
      </c>
      <c r="F92" s="1" t="s">
        <v>16</v>
      </c>
      <c r="G92" t="str">
        <f>IF(AND(E92&gt;=55,D92&gt;=55),"Premium Loyalists",IF(AND(E92&gt;=55,D92&lt;55),"High Earners Low Spend",IF(AND(E92&lt;55,D92&gt;=55),"Impulsive Buyers",IF(AND(E92&lt;40,D92&lt;40),"Budget Conscious","Mid-Market"))))</f>
        <v>Impulsive Buyers</v>
      </c>
      <c r="I92" s="4"/>
    </row>
    <row r="93" spans="1:9">
      <c r="A93">
        <v>106</v>
      </c>
      <c r="B93" t="s">
        <v>7</v>
      </c>
      <c r="C93">
        <v>21</v>
      </c>
      <c r="D93">
        <v>62</v>
      </c>
      <c r="E93">
        <v>42</v>
      </c>
      <c r="F93" s="1" t="s">
        <v>16</v>
      </c>
      <c r="G93" t="str">
        <f>IF(AND(E93&gt;=55,D93&gt;=55),"Premium Loyalists",IF(AND(E93&gt;=55,D93&lt;55),"High Earners Low Spend",IF(AND(E93&lt;55,D93&gt;=55),"Impulsive Buyers",IF(AND(E93&lt;40,D93&lt;40),"Budget Conscious","Mid-Market"))))</f>
        <v>Impulsive Buyers</v>
      </c>
      <c r="I93" s="4"/>
    </row>
    <row r="94" spans="1:9">
      <c r="A94">
        <v>107</v>
      </c>
      <c r="B94" t="s">
        <v>7</v>
      </c>
      <c r="C94">
        <v>66</v>
      </c>
      <c r="D94">
        <v>63</v>
      </c>
      <c r="E94">
        <v>50</v>
      </c>
      <c r="F94" s="1" t="s">
        <v>16</v>
      </c>
      <c r="G94" t="str">
        <f>IF(AND(E94&gt;=55,D94&gt;=55),"Premium Loyalists",IF(AND(E94&gt;=55,D94&lt;55),"High Earners Low Spend",IF(AND(E94&lt;55,D94&gt;=55),"Impulsive Buyers",IF(AND(E94&lt;40,D94&lt;40),"Budget Conscious","Mid-Market"))))</f>
        <v>Impulsive Buyers</v>
      </c>
      <c r="I94" s="4"/>
    </row>
    <row r="95" spans="1:9">
      <c r="A95">
        <v>108</v>
      </c>
      <c r="B95" t="s">
        <v>6</v>
      </c>
      <c r="C95">
        <v>54</v>
      </c>
      <c r="D95">
        <v>63</v>
      </c>
      <c r="E95">
        <v>46</v>
      </c>
      <c r="F95" s="1" t="s">
        <v>16</v>
      </c>
      <c r="G95" t="str">
        <f>IF(AND(E95&gt;=55,D95&gt;=55),"Premium Loyalists",IF(AND(E95&gt;=55,D95&lt;55),"High Earners Low Spend",IF(AND(E95&lt;55,D95&gt;=55),"Impulsive Buyers",IF(AND(E95&lt;40,D95&lt;40),"Budget Conscious","Mid-Market"))))</f>
        <v>Impulsive Buyers</v>
      </c>
      <c r="I95" s="4"/>
    </row>
    <row r="96" spans="1:9">
      <c r="A96">
        <v>109</v>
      </c>
      <c r="B96" t="s">
        <v>6</v>
      </c>
      <c r="C96">
        <v>68</v>
      </c>
      <c r="D96">
        <v>63</v>
      </c>
      <c r="E96">
        <v>43</v>
      </c>
      <c r="F96" s="1" t="s">
        <v>16</v>
      </c>
      <c r="G96" t="str">
        <f>IF(AND(E96&gt;=55,D96&gt;=55),"Premium Loyalists",IF(AND(E96&gt;=55,D96&lt;55),"High Earners Low Spend",IF(AND(E96&lt;55,D96&gt;=55),"Impulsive Buyers",IF(AND(E96&lt;40,D96&lt;40),"Budget Conscious","Mid-Market"))))</f>
        <v>Impulsive Buyers</v>
      </c>
      <c r="I96" s="4"/>
    </row>
    <row r="97" spans="1:9">
      <c r="A97">
        <v>110</v>
      </c>
      <c r="B97" t="s">
        <v>6</v>
      </c>
      <c r="C97">
        <v>66</v>
      </c>
      <c r="D97">
        <v>63</v>
      </c>
      <c r="E97">
        <v>48</v>
      </c>
      <c r="F97" s="1" t="s">
        <v>16</v>
      </c>
      <c r="G97" t="str">
        <f>IF(AND(E97&gt;=55,D97&gt;=55),"Premium Loyalists",IF(AND(E97&gt;=55,D97&lt;55),"High Earners Low Spend",IF(AND(E97&lt;55,D97&gt;=55),"Impulsive Buyers",IF(AND(E97&lt;40,D97&lt;40),"Budget Conscious","Mid-Market"))))</f>
        <v>Impulsive Buyers</v>
      </c>
      <c r="I97" s="4"/>
    </row>
    <row r="98" spans="1:9">
      <c r="A98">
        <v>111</v>
      </c>
      <c r="B98" t="s">
        <v>6</v>
      </c>
      <c r="C98">
        <v>65</v>
      </c>
      <c r="D98">
        <v>63</v>
      </c>
      <c r="E98">
        <v>52</v>
      </c>
      <c r="F98" s="1" t="s">
        <v>16</v>
      </c>
      <c r="G98" t="str">
        <f>IF(AND(E98&gt;=55,D98&gt;=55),"Premium Loyalists",IF(AND(E98&gt;=55,D98&lt;55),"High Earners Low Spend",IF(AND(E98&lt;55,D98&gt;=55),"Impulsive Buyers",IF(AND(E98&lt;40,D98&lt;40),"Budget Conscious","Mid-Market"))))</f>
        <v>Impulsive Buyers</v>
      </c>
      <c r="I98" s="4"/>
    </row>
    <row r="99" spans="1:9">
      <c r="A99">
        <v>112</v>
      </c>
      <c r="B99" t="s">
        <v>7</v>
      </c>
      <c r="C99">
        <v>19</v>
      </c>
      <c r="D99">
        <v>63</v>
      </c>
      <c r="E99">
        <v>54</v>
      </c>
      <c r="F99" s="1" t="s">
        <v>16</v>
      </c>
      <c r="G99" t="str">
        <f>IF(AND(E99&gt;=55,D99&gt;=55),"Premium Loyalists",IF(AND(E99&gt;=55,D99&lt;55),"High Earners Low Spend",IF(AND(E99&lt;55,D99&gt;=55),"Impulsive Buyers",IF(AND(E99&lt;40,D99&lt;40),"Budget Conscious","Mid-Market"))))</f>
        <v>Impulsive Buyers</v>
      </c>
      <c r="I99" s="4"/>
    </row>
    <row r="100" spans="1:9">
      <c r="A100">
        <v>113</v>
      </c>
      <c r="B100" t="s">
        <v>7</v>
      </c>
      <c r="C100">
        <v>38</v>
      </c>
      <c r="D100">
        <v>64</v>
      </c>
      <c r="E100">
        <v>42</v>
      </c>
      <c r="F100" s="1" t="s">
        <v>16</v>
      </c>
      <c r="G100" t="str">
        <f>IF(AND(E100&gt;=55,D100&gt;=55),"Premium Loyalists",IF(AND(E100&gt;=55,D100&lt;55),"High Earners Low Spend",IF(AND(E100&lt;55,D100&gt;=55),"Impulsive Buyers",IF(AND(E100&lt;40,D100&lt;40),"Budget Conscious","Mid-Market"))))</f>
        <v>Impulsive Buyers</v>
      </c>
      <c r="I100" s="4"/>
    </row>
    <row r="101" spans="1:9">
      <c r="A101">
        <v>114</v>
      </c>
      <c r="B101" t="s">
        <v>6</v>
      </c>
      <c r="C101">
        <v>19</v>
      </c>
      <c r="D101">
        <v>64</v>
      </c>
      <c r="E101">
        <v>46</v>
      </c>
      <c r="F101" s="1" t="s">
        <v>16</v>
      </c>
      <c r="G101" t="str">
        <f>IF(AND(E101&gt;=55,D101&gt;=55),"Premium Loyalists",IF(AND(E101&gt;=55,D101&lt;55),"High Earners Low Spend",IF(AND(E101&lt;55,D101&gt;=55),"Impulsive Buyers",IF(AND(E101&lt;40,D101&lt;40),"Budget Conscious","Mid-Market"))))</f>
        <v>Impulsive Buyers</v>
      </c>
      <c r="I101" s="4"/>
    </row>
    <row r="102" spans="1:9">
      <c r="A102">
        <v>115</v>
      </c>
      <c r="B102" t="s">
        <v>7</v>
      </c>
      <c r="C102">
        <v>18</v>
      </c>
      <c r="D102">
        <v>65</v>
      </c>
      <c r="E102">
        <v>48</v>
      </c>
      <c r="F102" s="1" t="s">
        <v>16</v>
      </c>
      <c r="G102" t="str">
        <f>IF(AND(E102&gt;=55,D102&gt;=55),"Premium Loyalists",IF(AND(E102&gt;=55,D102&lt;55),"High Earners Low Spend",IF(AND(E102&lt;55,D102&gt;=55),"Impulsive Buyers",IF(AND(E102&lt;40,D102&lt;40),"Budget Conscious","Mid-Market"))))</f>
        <v>Impulsive Buyers</v>
      </c>
      <c r="I102" s="4"/>
    </row>
    <row r="103" spans="1:9">
      <c r="A103">
        <v>116</v>
      </c>
      <c r="B103" t="s">
        <v>7</v>
      </c>
      <c r="C103">
        <v>19</v>
      </c>
      <c r="D103">
        <v>65</v>
      </c>
      <c r="E103">
        <v>50</v>
      </c>
      <c r="F103" s="1" t="s">
        <v>16</v>
      </c>
      <c r="G103" t="str">
        <f>IF(AND(E103&gt;=55,D103&gt;=55),"Premium Loyalists",IF(AND(E103&gt;=55,D103&lt;55),"High Earners Low Spend",IF(AND(E103&lt;55,D103&gt;=55),"Impulsive Buyers",IF(AND(E103&lt;40,D103&lt;40),"Budget Conscious","Mid-Market"))))</f>
        <v>Impulsive Buyers</v>
      </c>
      <c r="I103" s="4"/>
    </row>
    <row r="104" spans="1:9">
      <c r="A104">
        <v>117</v>
      </c>
      <c r="B104" t="s">
        <v>7</v>
      </c>
      <c r="C104">
        <v>63</v>
      </c>
      <c r="D104">
        <v>65</v>
      </c>
      <c r="E104">
        <v>43</v>
      </c>
      <c r="F104" s="1" t="s">
        <v>16</v>
      </c>
      <c r="G104" t="str">
        <f>IF(AND(E104&gt;=55,D104&gt;=55),"Premium Loyalists",IF(AND(E104&gt;=55,D104&lt;55),"High Earners Low Spend",IF(AND(E104&lt;55,D104&gt;=55),"Impulsive Buyers",IF(AND(E104&lt;40,D104&lt;40),"Budget Conscious","Mid-Market"))))</f>
        <v>Impulsive Buyers</v>
      </c>
      <c r="I104" s="4"/>
    </row>
    <row r="105" spans="1:9">
      <c r="A105">
        <v>119</v>
      </c>
      <c r="B105" t="s">
        <v>7</v>
      </c>
      <c r="C105">
        <v>51</v>
      </c>
      <c r="D105">
        <v>67</v>
      </c>
      <c r="E105">
        <v>43</v>
      </c>
      <c r="F105" s="1" t="s">
        <v>16</v>
      </c>
      <c r="G105" t="str">
        <f>IF(AND(E105&gt;=55,D105&gt;=55),"Premium Loyalists",IF(AND(E105&gt;=55,D105&lt;55),"High Earners Low Spend",IF(AND(E105&lt;55,D105&gt;=55),"Impulsive Buyers",IF(AND(E105&lt;40,D105&lt;40),"Budget Conscious","Mid-Market"))))</f>
        <v>Impulsive Buyers</v>
      </c>
      <c r="I105" s="4"/>
    </row>
    <row r="106" spans="1:9">
      <c r="A106">
        <v>122</v>
      </c>
      <c r="B106" t="s">
        <v>7</v>
      </c>
      <c r="C106">
        <v>38</v>
      </c>
      <c r="D106">
        <v>67</v>
      </c>
      <c r="E106">
        <v>40</v>
      </c>
      <c r="F106" s="1" t="s">
        <v>16</v>
      </c>
      <c r="G106" t="str">
        <f>IF(AND(E106&gt;=55,D106&gt;=55),"Premium Loyalists",IF(AND(E106&gt;=55,D106&lt;55),"High Earners Low Spend",IF(AND(E106&lt;55,D106&gt;=55),"Impulsive Buyers",IF(AND(E106&lt;40,D106&lt;40),"Budget Conscious","Mid-Market"))))</f>
        <v>Impulsive Buyers</v>
      </c>
      <c r="I106" s="4"/>
    </row>
    <row r="107" spans="1:9">
      <c r="A107">
        <v>125</v>
      </c>
      <c r="B107" t="s">
        <v>7</v>
      </c>
      <c r="C107">
        <v>23</v>
      </c>
      <c r="D107">
        <v>70</v>
      </c>
      <c r="E107">
        <v>29</v>
      </c>
      <c r="F107" s="1" t="s">
        <v>16</v>
      </c>
      <c r="G107" t="str">
        <f>IF(AND(E107&gt;=55,D107&gt;=55),"Premium Loyalists",IF(AND(E107&gt;=55,D107&lt;55),"High Earners Low Spend",IF(AND(E107&lt;55,D107&gt;=55),"Impulsive Buyers",IF(AND(E107&lt;40,D107&lt;40),"Budget Conscious","Mid-Market"))))</f>
        <v>Impulsive Buyers</v>
      </c>
      <c r="I107" s="4"/>
    </row>
    <row r="108" spans="1:9">
      <c r="A108">
        <v>127</v>
      </c>
      <c r="B108" t="s">
        <v>6</v>
      </c>
      <c r="C108">
        <v>43</v>
      </c>
      <c r="D108">
        <v>71</v>
      </c>
      <c r="E108">
        <v>35</v>
      </c>
      <c r="F108" s="1" t="s">
        <v>16</v>
      </c>
      <c r="G108" t="str">
        <f>IF(AND(E108&gt;=55,D108&gt;=55),"Premium Loyalists",IF(AND(E108&gt;=55,D108&lt;55),"High Earners Low Spend",IF(AND(E108&lt;55,D108&gt;=55),"Impulsive Buyers",IF(AND(E108&lt;40,D108&lt;40),"Budget Conscious","Mid-Market"))))</f>
        <v>Impulsive Buyers</v>
      </c>
      <c r="I108" s="4"/>
    </row>
    <row r="109" spans="1:9">
      <c r="A109">
        <v>129</v>
      </c>
      <c r="B109" t="s">
        <v>6</v>
      </c>
      <c r="C109">
        <v>59</v>
      </c>
      <c r="D109">
        <v>71</v>
      </c>
      <c r="E109">
        <v>11</v>
      </c>
      <c r="F109" s="1" t="s">
        <v>16</v>
      </c>
      <c r="G109" t="str">
        <f>IF(AND(E109&gt;=55,D109&gt;=55),"Premium Loyalists",IF(AND(E109&gt;=55,D109&lt;55),"High Earners Low Spend",IF(AND(E109&lt;55,D109&gt;=55),"Impulsive Buyers",IF(AND(E109&lt;40,D109&lt;40),"Budget Conscious","Mid-Market"))))</f>
        <v>Impulsive Buyers</v>
      </c>
      <c r="I109" s="4"/>
    </row>
    <row r="110" spans="1:9">
      <c r="A110">
        <v>131</v>
      </c>
      <c r="B110" t="s">
        <v>6</v>
      </c>
      <c r="C110">
        <v>47</v>
      </c>
      <c r="D110">
        <v>71</v>
      </c>
      <c r="E110">
        <v>9</v>
      </c>
      <c r="F110" s="1" t="s">
        <v>16</v>
      </c>
      <c r="G110" t="str">
        <f>IF(AND(E110&gt;=55,D110&gt;=55),"Premium Loyalists",IF(AND(E110&gt;=55,D110&lt;55),"High Earners Low Spend",IF(AND(E110&lt;55,D110&gt;=55),"Impulsive Buyers",IF(AND(E110&lt;40,D110&lt;40),"Budget Conscious","Mid-Market"))))</f>
        <v>Impulsive Buyers</v>
      </c>
      <c r="I110" s="4"/>
    </row>
    <row r="111" spans="1:9">
      <c r="A111">
        <v>133</v>
      </c>
      <c r="B111" t="s">
        <v>7</v>
      </c>
      <c r="C111">
        <v>25</v>
      </c>
      <c r="D111">
        <v>72</v>
      </c>
      <c r="E111">
        <v>34</v>
      </c>
      <c r="F111" s="1" t="s">
        <v>16</v>
      </c>
      <c r="G111" t="str">
        <f>IF(AND(E111&gt;=55,D111&gt;=55),"Premium Loyalists",IF(AND(E111&gt;=55,D111&lt;55),"High Earners Low Spend",IF(AND(E111&lt;55,D111&gt;=55),"Impulsive Buyers",IF(AND(E111&lt;40,D111&lt;40),"Budget Conscious","Mid-Market"))))</f>
        <v>Impulsive Buyers</v>
      </c>
      <c r="I111" s="4"/>
    </row>
    <row r="112" spans="1:9">
      <c r="A112">
        <v>135</v>
      </c>
      <c r="B112" t="s">
        <v>6</v>
      </c>
      <c r="C112">
        <v>20</v>
      </c>
      <c r="D112">
        <v>73</v>
      </c>
      <c r="E112">
        <v>5</v>
      </c>
      <c r="F112" s="1" t="s">
        <v>16</v>
      </c>
      <c r="G112" t="str">
        <f>IF(AND(E112&gt;=55,D112&gt;=55),"Premium Loyalists",IF(AND(E112&gt;=55,D112&lt;55),"High Earners Low Spend",IF(AND(E112&lt;55,D112&gt;=55),"Impulsive Buyers",IF(AND(E112&lt;40,D112&lt;40),"Budget Conscious","Mid-Market"))))</f>
        <v>Impulsive Buyers</v>
      </c>
      <c r="I112" s="4"/>
    </row>
    <row r="113" spans="1:9">
      <c r="A113">
        <v>137</v>
      </c>
      <c r="B113" t="s">
        <v>7</v>
      </c>
      <c r="C113">
        <v>44</v>
      </c>
      <c r="D113">
        <v>73</v>
      </c>
      <c r="E113">
        <v>7</v>
      </c>
      <c r="F113" s="1" t="s">
        <v>16</v>
      </c>
      <c r="G113" t="str">
        <f>IF(AND(E113&gt;=55,D113&gt;=55),"Premium Loyalists",IF(AND(E113&gt;=55,D113&lt;55),"High Earners Low Spend",IF(AND(E113&lt;55,D113&gt;=55),"Impulsive Buyers",IF(AND(E113&lt;40,D113&lt;40),"Budget Conscious","Mid-Market"))))</f>
        <v>Impulsive Buyers</v>
      </c>
      <c r="I113" s="4"/>
    </row>
    <row r="114" spans="1:9">
      <c r="A114">
        <v>139</v>
      </c>
      <c r="B114" t="s">
        <v>6</v>
      </c>
      <c r="C114">
        <v>19</v>
      </c>
      <c r="D114">
        <v>74</v>
      </c>
      <c r="E114">
        <v>10</v>
      </c>
      <c r="F114" s="1" t="s">
        <v>16</v>
      </c>
      <c r="G114" t="str">
        <f>IF(AND(E114&gt;=55,D114&gt;=55),"Premium Loyalists",IF(AND(E114&gt;=55,D114&lt;55),"High Earners Low Spend",IF(AND(E114&lt;55,D114&gt;=55),"Impulsive Buyers",IF(AND(E114&lt;40,D114&lt;40),"Budget Conscious","Mid-Market"))))</f>
        <v>Impulsive Buyers</v>
      </c>
      <c r="I114" s="4"/>
    </row>
    <row r="115" spans="1:9">
      <c r="A115">
        <v>141</v>
      </c>
      <c r="B115" t="s">
        <v>7</v>
      </c>
      <c r="C115">
        <v>57</v>
      </c>
      <c r="D115">
        <v>75</v>
      </c>
      <c r="E115">
        <v>5</v>
      </c>
      <c r="F115" s="1" t="s">
        <v>16</v>
      </c>
      <c r="G115" t="str">
        <f>IF(AND(E115&gt;=55,D115&gt;=55),"Premium Loyalists",IF(AND(E115&gt;=55,D115&lt;55),"High Earners Low Spend",IF(AND(E115&lt;55,D115&gt;=55),"Impulsive Buyers",IF(AND(E115&lt;40,D115&lt;40),"Budget Conscious","Mid-Market"))))</f>
        <v>Impulsive Buyers</v>
      </c>
      <c r="I115" s="4"/>
    </row>
    <row r="116" spans="1:9">
      <c r="A116">
        <v>143</v>
      </c>
      <c r="B116" t="s">
        <v>7</v>
      </c>
      <c r="C116">
        <v>28</v>
      </c>
      <c r="D116">
        <v>76</v>
      </c>
      <c r="E116">
        <v>40</v>
      </c>
      <c r="F116" s="1" t="s">
        <v>16</v>
      </c>
      <c r="G116" t="str">
        <f>IF(AND(E116&gt;=55,D116&gt;=55),"Premium Loyalists",IF(AND(E116&gt;=55,D116&lt;55),"High Earners Low Spend",IF(AND(E116&lt;55,D116&gt;=55),"Impulsive Buyers",IF(AND(E116&lt;40,D116&lt;40),"Budget Conscious","Mid-Market"))))</f>
        <v>Impulsive Buyers</v>
      </c>
      <c r="I116" s="4"/>
    </row>
    <row r="117" spans="1:9">
      <c r="A117">
        <v>145</v>
      </c>
      <c r="B117" t="s">
        <v>6</v>
      </c>
      <c r="C117">
        <v>25</v>
      </c>
      <c r="D117">
        <v>77</v>
      </c>
      <c r="E117">
        <v>12</v>
      </c>
      <c r="F117" s="1" t="s">
        <v>16</v>
      </c>
      <c r="G117" t="str">
        <f>IF(AND(E117&gt;=55,D117&gt;=55),"Premium Loyalists",IF(AND(E117&gt;=55,D117&lt;55),"High Earners Low Spend",IF(AND(E117&lt;55,D117&gt;=55),"Impulsive Buyers",IF(AND(E117&lt;40,D117&lt;40),"Budget Conscious","Mid-Market"))))</f>
        <v>Impulsive Buyers</v>
      </c>
      <c r="I117" s="4"/>
    </row>
    <row r="118" spans="1:9">
      <c r="A118">
        <v>147</v>
      </c>
      <c r="B118" t="s">
        <v>6</v>
      </c>
      <c r="C118">
        <v>48</v>
      </c>
      <c r="D118">
        <v>77</v>
      </c>
      <c r="E118">
        <v>36</v>
      </c>
      <c r="F118" s="1" t="s">
        <v>16</v>
      </c>
      <c r="G118" t="str">
        <f>IF(AND(E118&gt;=55,D118&gt;=55),"Premium Loyalists",IF(AND(E118&gt;=55,D118&lt;55),"High Earners Low Spend",IF(AND(E118&lt;55,D118&gt;=55),"Impulsive Buyers",IF(AND(E118&lt;40,D118&lt;40),"Budget Conscious","Mid-Market"))))</f>
        <v>Impulsive Buyers</v>
      </c>
      <c r="I118" s="4"/>
    </row>
    <row r="119" spans="1:9">
      <c r="A119">
        <v>149</v>
      </c>
      <c r="B119" t="s">
        <v>7</v>
      </c>
      <c r="C119">
        <v>34</v>
      </c>
      <c r="D119">
        <v>78</v>
      </c>
      <c r="E119">
        <v>22</v>
      </c>
      <c r="F119" s="1" t="s">
        <v>16</v>
      </c>
      <c r="G119" t="str">
        <f>IF(AND(E119&gt;=55,D119&gt;=55),"Premium Loyalists",IF(AND(E119&gt;=55,D119&lt;55),"High Earners Low Spend",IF(AND(E119&lt;55,D119&gt;=55),"Impulsive Buyers",IF(AND(E119&lt;40,D119&lt;40),"Budget Conscious","Mid-Market"))))</f>
        <v>Impulsive Buyers</v>
      </c>
      <c r="I119" s="4"/>
    </row>
    <row r="120" spans="1:9">
      <c r="A120">
        <v>151</v>
      </c>
      <c r="B120" t="s">
        <v>6</v>
      </c>
      <c r="C120">
        <v>43</v>
      </c>
      <c r="D120">
        <v>78</v>
      </c>
      <c r="E120">
        <v>17</v>
      </c>
      <c r="F120" s="1" t="s">
        <v>16</v>
      </c>
      <c r="G120" t="str">
        <f>IF(AND(E120&gt;=55,D120&gt;=55),"Premium Loyalists",IF(AND(E120&gt;=55,D120&lt;55),"High Earners Low Spend",IF(AND(E120&lt;55,D120&gt;=55),"Impulsive Buyers",IF(AND(E120&lt;40,D120&lt;40),"Budget Conscious","Mid-Market"))))</f>
        <v>Impulsive Buyers</v>
      </c>
      <c r="I120" s="4"/>
    </row>
    <row r="121" spans="1:9">
      <c r="A121">
        <v>153</v>
      </c>
      <c r="B121" t="s">
        <v>7</v>
      </c>
      <c r="C121">
        <v>44</v>
      </c>
      <c r="D121">
        <v>78</v>
      </c>
      <c r="E121">
        <v>20</v>
      </c>
      <c r="F121" s="1" t="s">
        <v>16</v>
      </c>
      <c r="G121" t="str">
        <f>IF(AND(E121&gt;=55,D121&gt;=55),"Premium Loyalists",IF(AND(E121&gt;=55,D121&lt;55),"High Earners Low Spend",IF(AND(E121&lt;55,D121&gt;=55),"Impulsive Buyers",IF(AND(E121&lt;40,D121&lt;40),"Budget Conscious","Mid-Market"))))</f>
        <v>Impulsive Buyers</v>
      </c>
      <c r="I121" s="4"/>
    </row>
    <row r="122" spans="1:9">
      <c r="A122">
        <v>155</v>
      </c>
      <c r="B122" t="s">
        <v>7</v>
      </c>
      <c r="C122">
        <v>47</v>
      </c>
      <c r="D122">
        <v>78</v>
      </c>
      <c r="E122">
        <v>16</v>
      </c>
      <c r="F122" s="1" t="s">
        <v>16</v>
      </c>
      <c r="G122" t="str">
        <f>IF(AND(E122&gt;=55,D122&gt;=55),"Premium Loyalists",IF(AND(E122&gt;=55,D122&lt;55),"High Earners Low Spend",IF(AND(E122&lt;55,D122&gt;=55),"Impulsive Buyers",IF(AND(E122&lt;40,D122&lt;40),"Budget Conscious","Mid-Market"))))</f>
        <v>Impulsive Buyers</v>
      </c>
      <c r="I122" s="4"/>
    </row>
    <row r="123" spans="1:9">
      <c r="A123">
        <v>157</v>
      </c>
      <c r="B123" t="s">
        <v>6</v>
      </c>
      <c r="C123">
        <v>37</v>
      </c>
      <c r="D123">
        <v>78</v>
      </c>
      <c r="E123">
        <v>1</v>
      </c>
      <c r="F123" s="1" t="s">
        <v>16</v>
      </c>
      <c r="G123" t="str">
        <f>IF(AND(E123&gt;=55,D123&gt;=55),"Premium Loyalists",IF(AND(E123&gt;=55,D123&lt;55),"High Earners Low Spend",IF(AND(E123&lt;55,D123&gt;=55),"Impulsive Buyers",IF(AND(E123&lt;40,D123&lt;40),"Budget Conscious","Mid-Market"))))</f>
        <v>Impulsive Buyers</v>
      </c>
      <c r="I123" s="4"/>
    </row>
    <row r="124" spans="1:9">
      <c r="A124">
        <v>159</v>
      </c>
      <c r="B124" t="s">
        <v>6</v>
      </c>
      <c r="C124">
        <v>34</v>
      </c>
      <c r="D124">
        <v>78</v>
      </c>
      <c r="E124">
        <v>1</v>
      </c>
      <c r="F124" s="1" t="s">
        <v>16</v>
      </c>
      <c r="G124" t="str">
        <f>IF(AND(E124&gt;=55,D124&gt;=55),"Premium Loyalists",IF(AND(E124&gt;=55,D124&lt;55),"High Earners Low Spend",IF(AND(E124&lt;55,D124&gt;=55),"Impulsive Buyers",IF(AND(E124&lt;40,D124&lt;40),"Budget Conscious","Mid-Market"))))</f>
        <v>Impulsive Buyers</v>
      </c>
      <c r="I124" s="4"/>
    </row>
    <row r="125" spans="1:9">
      <c r="A125">
        <v>161</v>
      </c>
      <c r="B125" t="s">
        <v>7</v>
      </c>
      <c r="C125">
        <v>56</v>
      </c>
      <c r="D125">
        <v>79</v>
      </c>
      <c r="E125">
        <v>35</v>
      </c>
      <c r="F125" s="1" t="s">
        <v>16</v>
      </c>
      <c r="G125" t="str">
        <f>IF(AND(E125&gt;=55,D125&gt;=55),"Premium Loyalists",IF(AND(E125&gt;=55,D125&lt;55),"High Earners Low Spend",IF(AND(E125&lt;55,D125&gt;=55),"Impulsive Buyers",IF(AND(E125&lt;40,D125&lt;40),"Budget Conscious","Mid-Market"))))</f>
        <v>Impulsive Buyers</v>
      </c>
      <c r="I125" s="4"/>
    </row>
    <row r="126" spans="1:9">
      <c r="A126">
        <v>163</v>
      </c>
      <c r="B126" t="s">
        <v>6</v>
      </c>
      <c r="C126">
        <v>19</v>
      </c>
      <c r="D126">
        <v>81</v>
      </c>
      <c r="E126">
        <v>5</v>
      </c>
      <c r="F126" s="1" t="s">
        <v>16</v>
      </c>
      <c r="G126" t="str">
        <f>IF(AND(E126&gt;=55,D126&gt;=55),"Premium Loyalists",IF(AND(E126&gt;=55,D126&lt;55),"High Earners Low Spend",IF(AND(E126&lt;55,D126&gt;=55),"Impulsive Buyers",IF(AND(E126&lt;40,D126&lt;40),"Budget Conscious","Mid-Market"))))</f>
        <v>Impulsive Buyers</v>
      </c>
      <c r="I126" s="4"/>
    </row>
    <row r="127" spans="1:9">
      <c r="A127">
        <v>165</v>
      </c>
      <c r="B127" t="s">
        <v>6</v>
      </c>
      <c r="C127">
        <v>50</v>
      </c>
      <c r="D127">
        <v>85</v>
      </c>
      <c r="E127">
        <v>26</v>
      </c>
      <c r="F127" s="1" t="s">
        <v>16</v>
      </c>
      <c r="G127" t="str">
        <f>IF(AND(E127&gt;=55,D127&gt;=55),"Premium Loyalists",IF(AND(E127&gt;=55,D127&lt;55),"High Earners Low Spend",IF(AND(E127&lt;55,D127&gt;=55),"Impulsive Buyers",IF(AND(E127&lt;40,D127&lt;40),"Budget Conscious","Mid-Market"))))</f>
        <v>Impulsive Buyers</v>
      </c>
      <c r="I127" s="4"/>
    </row>
    <row r="128" spans="1:9">
      <c r="A128">
        <v>167</v>
      </c>
      <c r="B128" t="s">
        <v>6</v>
      </c>
      <c r="C128">
        <v>42</v>
      </c>
      <c r="D128">
        <v>86</v>
      </c>
      <c r="E128">
        <v>20</v>
      </c>
      <c r="F128" s="1" t="s">
        <v>16</v>
      </c>
      <c r="G128" t="str">
        <f>IF(AND(E128&gt;=55,D128&gt;=55),"Premium Loyalists",IF(AND(E128&gt;=55,D128&lt;55),"High Earners Low Spend",IF(AND(E128&lt;55,D128&gt;=55),"Impulsive Buyers",IF(AND(E128&lt;40,D128&lt;40),"Budget Conscious","Mid-Market"))))</f>
        <v>Impulsive Buyers</v>
      </c>
      <c r="I128" s="4"/>
    </row>
    <row r="129" spans="1:9">
      <c r="A129">
        <v>169</v>
      </c>
      <c r="B129" t="s">
        <v>7</v>
      </c>
      <c r="C129">
        <v>36</v>
      </c>
      <c r="D129">
        <v>87</v>
      </c>
      <c r="E129">
        <v>27</v>
      </c>
      <c r="F129" s="1" t="s">
        <v>16</v>
      </c>
      <c r="G129" t="str">
        <f>IF(AND(E129&gt;=55,D129&gt;=55),"Premium Loyalists",IF(AND(E129&gt;=55,D129&lt;55),"High Earners Low Spend",IF(AND(E129&lt;55,D129&gt;=55),"Impulsive Buyers",IF(AND(E129&lt;40,D129&lt;40),"Budget Conscious","Mid-Market"))))</f>
        <v>Impulsive Buyers</v>
      </c>
      <c r="I129" s="4"/>
    </row>
    <row r="130" spans="1:9">
      <c r="A130">
        <v>171</v>
      </c>
      <c r="B130" t="s">
        <v>6</v>
      </c>
      <c r="C130">
        <v>40</v>
      </c>
      <c r="D130">
        <v>87</v>
      </c>
      <c r="E130">
        <v>13</v>
      </c>
      <c r="F130" s="1" t="s">
        <v>16</v>
      </c>
      <c r="G130" t="str">
        <f>IF(AND(E130&gt;=55,D130&gt;=55),"Premium Loyalists",IF(AND(E130&gt;=55,D130&lt;55),"High Earners Low Spend",IF(AND(E130&lt;55,D130&gt;=55),"Impulsive Buyers",IF(AND(E130&lt;40,D130&lt;40),"Budget Conscious","Mid-Market"))))</f>
        <v>Impulsive Buyers</v>
      </c>
      <c r="I130" s="4"/>
    </row>
    <row r="131" spans="1:9">
      <c r="A131">
        <v>173</v>
      </c>
      <c r="B131" t="s">
        <v>6</v>
      </c>
      <c r="C131">
        <v>36</v>
      </c>
      <c r="D131">
        <v>87</v>
      </c>
      <c r="E131">
        <v>10</v>
      </c>
      <c r="F131" s="1" t="s">
        <v>16</v>
      </c>
      <c r="G131" t="str">
        <f>IF(AND(E131&gt;=55,D131&gt;=55),"Premium Loyalists",IF(AND(E131&gt;=55,D131&lt;55),"High Earners Low Spend",IF(AND(E131&lt;55,D131&gt;=55),"Impulsive Buyers",IF(AND(E131&lt;40,D131&lt;40),"Budget Conscious","Mid-Market"))))</f>
        <v>Impulsive Buyers</v>
      </c>
      <c r="I131" s="4"/>
    </row>
    <row r="132" spans="1:9">
      <c r="A132">
        <v>175</v>
      </c>
      <c r="B132" t="s">
        <v>7</v>
      </c>
      <c r="C132">
        <v>52</v>
      </c>
      <c r="D132">
        <v>88</v>
      </c>
      <c r="E132">
        <v>13</v>
      </c>
      <c r="F132" s="1" t="s">
        <v>16</v>
      </c>
      <c r="G132" t="str">
        <f>IF(AND(E132&gt;=55,D132&gt;=55),"Premium Loyalists",IF(AND(E132&gt;=55,D132&lt;55),"High Earners Low Spend",IF(AND(E132&lt;55,D132&gt;=55),"Impulsive Buyers",IF(AND(E132&lt;40,D132&lt;40),"Budget Conscious","Mid-Market"))))</f>
        <v>Impulsive Buyers</v>
      </c>
      <c r="I132" s="4"/>
    </row>
    <row r="133" spans="1:9">
      <c r="A133">
        <v>177</v>
      </c>
      <c r="B133" t="s">
        <v>6</v>
      </c>
      <c r="C133">
        <v>58</v>
      </c>
      <c r="D133">
        <v>88</v>
      </c>
      <c r="E133">
        <v>15</v>
      </c>
      <c r="F133" s="1" t="s">
        <v>16</v>
      </c>
      <c r="G133" t="str">
        <f>IF(AND(E133&gt;=55,D133&gt;=55),"Premium Loyalists",IF(AND(E133&gt;=55,D133&lt;55),"High Earners Low Spend",IF(AND(E133&lt;55,D133&gt;=55),"Impulsive Buyers",IF(AND(E133&lt;40,D133&lt;40),"Budget Conscious","Mid-Market"))))</f>
        <v>Impulsive Buyers</v>
      </c>
      <c r="I133" s="4"/>
    </row>
    <row r="134" spans="1:9">
      <c r="A134">
        <v>179</v>
      </c>
      <c r="B134" t="s">
        <v>6</v>
      </c>
      <c r="C134">
        <v>59</v>
      </c>
      <c r="D134">
        <v>93</v>
      </c>
      <c r="E134">
        <v>14</v>
      </c>
      <c r="F134" s="1" t="s">
        <v>16</v>
      </c>
      <c r="G134" t="str">
        <f>IF(AND(E134&gt;=55,D134&gt;=55),"Premium Loyalists",IF(AND(E134&gt;=55,D134&lt;55),"High Earners Low Spend",IF(AND(E134&lt;55,D134&gt;=55),"Impulsive Buyers",IF(AND(E134&lt;40,D134&lt;40),"Budget Conscious","Mid-Market"))))</f>
        <v>Impulsive Buyers</v>
      </c>
      <c r="I134" s="4"/>
    </row>
    <row r="135" spans="1:9">
      <c r="A135">
        <v>181</v>
      </c>
      <c r="B135" t="s">
        <v>7</v>
      </c>
      <c r="C135">
        <v>37</v>
      </c>
      <c r="D135">
        <v>97</v>
      </c>
      <c r="E135">
        <v>32</v>
      </c>
      <c r="F135" s="1" t="s">
        <v>16</v>
      </c>
      <c r="G135" t="str">
        <f>IF(AND(E135&gt;=55,D135&gt;=55),"Premium Loyalists",IF(AND(E135&gt;=55,D135&lt;55),"High Earners Low Spend",IF(AND(E135&lt;55,D135&gt;=55),"Impulsive Buyers",IF(AND(E135&lt;40,D135&lt;40),"Budget Conscious","Mid-Market"))))</f>
        <v>Impulsive Buyers</v>
      </c>
      <c r="I135" s="4"/>
    </row>
    <row r="136" spans="1:9">
      <c r="A136">
        <v>183</v>
      </c>
      <c r="B136" t="s">
        <v>6</v>
      </c>
      <c r="C136">
        <v>46</v>
      </c>
      <c r="D136">
        <v>98</v>
      </c>
      <c r="E136">
        <v>15</v>
      </c>
      <c r="F136" s="1" t="s">
        <v>16</v>
      </c>
      <c r="G136" t="str">
        <f>IF(AND(E136&gt;=55,D136&gt;=55),"Premium Loyalists",IF(AND(E136&gt;=55,D136&lt;55),"High Earners Low Spend",IF(AND(E136&lt;55,D136&gt;=55),"Impulsive Buyers",IF(AND(E136&lt;40,D136&lt;40),"Budget Conscious","Mid-Market"))))</f>
        <v>Impulsive Buyers</v>
      </c>
      <c r="I136" s="4"/>
    </row>
    <row r="137" spans="1:9">
      <c r="A137">
        <v>185</v>
      </c>
      <c r="B137" t="s">
        <v>7</v>
      </c>
      <c r="C137">
        <v>41</v>
      </c>
      <c r="D137">
        <v>99</v>
      </c>
      <c r="E137">
        <v>39</v>
      </c>
      <c r="F137" s="1" t="s">
        <v>16</v>
      </c>
      <c r="G137" t="str">
        <f>IF(AND(E137&gt;=55,D137&gt;=55),"Premium Loyalists",IF(AND(E137&gt;=55,D137&lt;55),"High Earners Low Spend",IF(AND(E137&lt;55,D137&gt;=55),"Impulsive Buyers",IF(AND(E137&lt;40,D137&lt;40),"Budget Conscious","Mid-Market"))))</f>
        <v>Impulsive Buyers</v>
      </c>
      <c r="I137" s="4"/>
    </row>
    <row r="138" spans="1:9">
      <c r="A138">
        <v>187</v>
      </c>
      <c r="B138" t="s">
        <v>7</v>
      </c>
      <c r="C138">
        <v>54</v>
      </c>
      <c r="D138">
        <v>101</v>
      </c>
      <c r="E138">
        <v>24</v>
      </c>
      <c r="F138" s="1" t="s">
        <v>16</v>
      </c>
      <c r="G138" t="str">
        <f>IF(AND(E138&gt;=55,D138&gt;=55),"Premium Loyalists",IF(AND(E138&gt;=55,D138&lt;55),"High Earners Low Spend",IF(AND(E138&lt;55,D138&gt;=55),"Impulsive Buyers",IF(AND(E138&lt;40,D138&lt;40),"Budget Conscious","Mid-Market"))))</f>
        <v>Impulsive Buyers</v>
      </c>
      <c r="I138" s="4"/>
    </row>
    <row r="139" spans="1:9">
      <c r="A139">
        <v>189</v>
      </c>
      <c r="B139" t="s">
        <v>7</v>
      </c>
      <c r="C139">
        <v>41</v>
      </c>
      <c r="D139">
        <v>103</v>
      </c>
      <c r="E139">
        <v>17</v>
      </c>
      <c r="F139" s="1" t="s">
        <v>16</v>
      </c>
      <c r="G139" t="str">
        <f>IF(AND(E139&gt;=55,D139&gt;=55),"Premium Loyalists",IF(AND(E139&gt;=55,D139&lt;55),"High Earners Low Spend",IF(AND(E139&lt;55,D139&gt;=55),"Impulsive Buyers",IF(AND(E139&lt;40,D139&lt;40),"Budget Conscious","Mid-Market"))))</f>
        <v>Impulsive Buyers</v>
      </c>
      <c r="I139" s="4"/>
    </row>
    <row r="140" spans="1:9">
      <c r="A140">
        <v>191</v>
      </c>
      <c r="B140" t="s">
        <v>7</v>
      </c>
      <c r="C140">
        <v>34</v>
      </c>
      <c r="D140">
        <v>103</v>
      </c>
      <c r="E140">
        <v>23</v>
      </c>
      <c r="F140" s="1" t="s">
        <v>16</v>
      </c>
      <c r="G140" t="str">
        <f>IF(AND(E140&gt;=55,D140&gt;=55),"Premium Loyalists",IF(AND(E140&gt;=55,D140&lt;55),"High Earners Low Spend",IF(AND(E140&lt;55,D140&gt;=55),"Impulsive Buyers",IF(AND(E140&lt;40,D140&lt;40),"Budget Conscious","Mid-Market"))))</f>
        <v>Impulsive Buyers</v>
      </c>
      <c r="I140" s="4"/>
    </row>
    <row r="141" spans="1:9">
      <c r="A141">
        <v>193</v>
      </c>
      <c r="B141" t="s">
        <v>6</v>
      </c>
      <c r="C141">
        <v>33</v>
      </c>
      <c r="D141">
        <v>113</v>
      </c>
      <c r="E141">
        <v>8</v>
      </c>
      <c r="F141" s="1" t="s">
        <v>16</v>
      </c>
      <c r="G141" t="str">
        <f>IF(AND(E141&gt;=55,D141&gt;=55),"Premium Loyalists",IF(AND(E141&gt;=55,D141&lt;55),"High Earners Low Spend",IF(AND(E141&lt;55,D141&gt;=55),"Impulsive Buyers",IF(AND(E141&lt;40,D141&lt;40),"Budget Conscious","Mid-Market"))))</f>
        <v>Impulsive Buyers</v>
      </c>
      <c r="I141" s="4"/>
    </row>
    <row r="142" spans="1:9">
      <c r="A142">
        <v>195</v>
      </c>
      <c r="B142" t="s">
        <v>7</v>
      </c>
      <c r="C142">
        <v>47</v>
      </c>
      <c r="D142">
        <v>120</v>
      </c>
      <c r="E142">
        <v>16</v>
      </c>
      <c r="F142" s="1" t="s">
        <v>16</v>
      </c>
      <c r="G142" t="str">
        <f>IF(AND(E142&gt;=55,D142&gt;=55),"Premium Loyalists",IF(AND(E142&gt;=55,D142&lt;55),"High Earners Low Spend",IF(AND(E142&lt;55,D142&gt;=55),"Impulsive Buyers",IF(AND(E142&lt;40,D142&lt;40),"Budget Conscious","Mid-Market"))))</f>
        <v>Impulsive Buyers</v>
      </c>
      <c r="I142" s="4"/>
    </row>
    <row r="143" spans="1:9">
      <c r="A143">
        <v>197</v>
      </c>
      <c r="B143" t="s">
        <v>7</v>
      </c>
      <c r="C143">
        <v>45</v>
      </c>
      <c r="D143">
        <v>126</v>
      </c>
      <c r="E143">
        <v>28</v>
      </c>
      <c r="F143" s="1" t="s">
        <v>16</v>
      </c>
      <c r="G143" t="str">
        <f>IF(AND(E143&gt;=55,D143&gt;=55),"Premium Loyalists",IF(AND(E143&gt;=55,D143&lt;55),"High Earners Low Spend",IF(AND(E143&lt;55,D143&gt;=55),"Impulsive Buyers",IF(AND(E143&lt;40,D143&lt;40),"Budget Conscious","Mid-Market"))))</f>
        <v>Impulsive Buyers</v>
      </c>
      <c r="I143" s="4"/>
    </row>
    <row r="144" spans="1:9">
      <c r="A144">
        <v>199</v>
      </c>
      <c r="B144" t="s">
        <v>6</v>
      </c>
      <c r="C144">
        <v>32</v>
      </c>
      <c r="D144">
        <v>137</v>
      </c>
      <c r="E144">
        <v>18</v>
      </c>
      <c r="F144" s="1" t="s">
        <v>16</v>
      </c>
      <c r="G144" t="str">
        <f>IF(AND(E144&gt;=55,D144&gt;=55),"Premium Loyalists",IF(AND(E144&gt;=55,D144&lt;55),"High Earners Low Spend",IF(AND(E144&lt;55,D144&gt;=55),"Impulsive Buyers",IF(AND(E144&lt;40,D144&lt;40),"Budget Conscious","Mid-Market"))))</f>
        <v>Impulsive Buyers</v>
      </c>
      <c r="I144" s="4"/>
    </row>
    <row r="145" spans="1:9">
      <c r="A145">
        <v>2</v>
      </c>
      <c r="B145" t="s">
        <v>6</v>
      </c>
      <c r="C145">
        <v>21</v>
      </c>
      <c r="D145">
        <v>15</v>
      </c>
      <c r="E145">
        <v>81</v>
      </c>
      <c r="F145" s="1" t="s">
        <v>11</v>
      </c>
      <c r="G145" t="str">
        <f>IF(AND(E145&gt;=55,D145&gt;=55),"Premium Loyalists",IF(AND(E145&gt;=55,D145&lt;55),"High Earners Low Spend",IF(AND(E145&lt;55,D145&gt;=55),"Impulsive Buyers",IF(AND(E145&lt;40,D145&lt;40),"Budget Conscious","Mid-Market"))))</f>
        <v>High Earners Low Spend</v>
      </c>
      <c r="I145" s="4"/>
    </row>
    <row r="146" spans="1:9">
      <c r="A146">
        <v>4</v>
      </c>
      <c r="B146" t="s">
        <v>7</v>
      </c>
      <c r="C146">
        <v>23</v>
      </c>
      <c r="D146">
        <v>16</v>
      </c>
      <c r="E146">
        <v>77</v>
      </c>
      <c r="F146" s="1" t="s">
        <v>11</v>
      </c>
      <c r="G146" t="str">
        <f>IF(AND(E146&gt;=55,D146&gt;=55),"Premium Loyalists",IF(AND(E146&gt;=55,D146&lt;55),"High Earners Low Spend",IF(AND(E146&lt;55,D146&gt;=55),"Impulsive Buyers",IF(AND(E146&lt;40,D146&lt;40),"Budget Conscious","Mid-Market"))))</f>
        <v>High Earners Low Spend</v>
      </c>
      <c r="I146" s="4"/>
    </row>
    <row r="147" spans="1:9">
      <c r="A147">
        <v>6</v>
      </c>
      <c r="B147" t="s">
        <v>7</v>
      </c>
      <c r="C147">
        <v>22</v>
      </c>
      <c r="D147">
        <v>17</v>
      </c>
      <c r="E147">
        <v>76</v>
      </c>
      <c r="F147" s="1" t="s">
        <v>11</v>
      </c>
      <c r="G147" t="str">
        <f>IF(AND(E147&gt;=55,D147&gt;=55),"Premium Loyalists",IF(AND(E147&gt;=55,D147&lt;55),"High Earners Low Spend",IF(AND(E147&lt;55,D147&gt;=55),"Impulsive Buyers",IF(AND(E147&lt;40,D147&lt;40),"Budget Conscious","Mid-Market"))))</f>
        <v>High Earners Low Spend</v>
      </c>
      <c r="I147" s="4"/>
    </row>
    <row r="148" spans="1:9">
      <c r="A148">
        <v>8</v>
      </c>
      <c r="B148" t="s">
        <v>7</v>
      </c>
      <c r="C148">
        <v>23</v>
      </c>
      <c r="D148">
        <v>18</v>
      </c>
      <c r="E148">
        <v>94</v>
      </c>
      <c r="F148" s="1" t="s">
        <v>11</v>
      </c>
      <c r="G148" t="str">
        <f>IF(AND(E148&gt;=55,D148&gt;=55),"Premium Loyalists",IF(AND(E148&gt;=55,D148&lt;55),"High Earners Low Spend",IF(AND(E148&lt;55,D148&gt;=55),"Impulsive Buyers",IF(AND(E148&lt;40,D148&lt;40),"Budget Conscious","Mid-Market"))))</f>
        <v>High Earners Low Spend</v>
      </c>
      <c r="I148" s="4"/>
    </row>
    <row r="149" spans="1:9">
      <c r="A149">
        <v>10</v>
      </c>
      <c r="B149" t="s">
        <v>7</v>
      </c>
      <c r="C149">
        <v>30</v>
      </c>
      <c r="D149">
        <v>19</v>
      </c>
      <c r="E149">
        <v>72</v>
      </c>
      <c r="F149" s="1" t="s">
        <v>11</v>
      </c>
      <c r="G149" t="str">
        <f>IF(AND(E149&gt;=55,D149&gt;=55),"Premium Loyalists",IF(AND(E149&gt;=55,D149&lt;55),"High Earners Low Spend",IF(AND(E149&lt;55,D149&gt;=55),"Impulsive Buyers",IF(AND(E149&lt;40,D149&lt;40),"Budget Conscious","Mid-Market"))))</f>
        <v>High Earners Low Spend</v>
      </c>
      <c r="I149" s="4"/>
    </row>
    <row r="150" spans="1:9">
      <c r="A150">
        <v>12</v>
      </c>
      <c r="B150" t="s">
        <v>7</v>
      </c>
      <c r="C150">
        <v>35</v>
      </c>
      <c r="D150">
        <v>19</v>
      </c>
      <c r="E150">
        <v>99</v>
      </c>
      <c r="F150" s="1" t="s">
        <v>11</v>
      </c>
      <c r="G150" t="str">
        <f>IF(AND(E150&gt;=55,D150&gt;=55),"Premium Loyalists",IF(AND(E150&gt;=55,D150&lt;55),"High Earners Low Spend",IF(AND(E150&lt;55,D150&gt;=55),"Impulsive Buyers",IF(AND(E150&lt;40,D150&lt;40),"Budget Conscious","Mid-Market"))))</f>
        <v>High Earners Low Spend</v>
      </c>
      <c r="I150" s="4"/>
    </row>
    <row r="151" spans="1:9">
      <c r="A151">
        <v>14</v>
      </c>
      <c r="B151" t="s">
        <v>7</v>
      </c>
      <c r="C151">
        <v>24</v>
      </c>
      <c r="D151">
        <v>20</v>
      </c>
      <c r="E151">
        <v>77</v>
      </c>
      <c r="F151" s="1" t="s">
        <v>11</v>
      </c>
      <c r="G151" t="str">
        <f>IF(AND(E151&gt;=55,D151&gt;=55),"Premium Loyalists",IF(AND(E151&gt;=55,D151&lt;55),"High Earners Low Spend",IF(AND(E151&lt;55,D151&gt;=55),"Impulsive Buyers",IF(AND(E151&lt;40,D151&lt;40),"Budget Conscious","Mid-Market"))))</f>
        <v>High Earners Low Spend</v>
      </c>
      <c r="I151" s="4"/>
    </row>
    <row r="152" spans="1:9">
      <c r="A152">
        <v>16</v>
      </c>
      <c r="B152" t="s">
        <v>6</v>
      </c>
      <c r="C152">
        <v>22</v>
      </c>
      <c r="D152">
        <v>20</v>
      </c>
      <c r="E152">
        <v>79</v>
      </c>
      <c r="F152" s="1" t="s">
        <v>11</v>
      </c>
      <c r="G152" t="str">
        <f>IF(AND(E152&gt;=55,D152&gt;=55),"Premium Loyalists",IF(AND(E152&gt;=55,D152&lt;55),"High Earners Low Spend",IF(AND(E152&lt;55,D152&gt;=55),"Impulsive Buyers",IF(AND(E152&lt;40,D152&lt;40),"Budget Conscious","Mid-Market"))))</f>
        <v>High Earners Low Spend</v>
      </c>
      <c r="I152" s="4"/>
    </row>
    <row r="153" spans="1:9">
      <c r="A153">
        <v>18</v>
      </c>
      <c r="B153" t="s">
        <v>6</v>
      </c>
      <c r="C153">
        <v>20</v>
      </c>
      <c r="D153">
        <v>21</v>
      </c>
      <c r="E153">
        <v>66</v>
      </c>
      <c r="F153" s="1" t="s">
        <v>11</v>
      </c>
      <c r="G153" t="str">
        <f>IF(AND(E153&gt;=55,D153&gt;=55),"Premium Loyalists",IF(AND(E153&gt;=55,D153&lt;55),"High Earners Low Spend",IF(AND(E153&lt;55,D153&gt;=55),"Impulsive Buyers",IF(AND(E153&lt;40,D153&lt;40),"Budget Conscious","Mid-Market"))))</f>
        <v>High Earners Low Spend</v>
      </c>
      <c r="I153" s="4"/>
    </row>
    <row r="154" spans="1:9">
      <c r="A154">
        <v>20</v>
      </c>
      <c r="B154" t="s">
        <v>7</v>
      </c>
      <c r="C154">
        <v>35</v>
      </c>
      <c r="D154">
        <v>23</v>
      </c>
      <c r="E154">
        <v>98</v>
      </c>
      <c r="F154" s="1" t="s">
        <v>11</v>
      </c>
      <c r="G154" t="str">
        <f>IF(AND(E154&gt;=55,D154&gt;=55),"Premium Loyalists",IF(AND(E154&gt;=55,D154&lt;55),"High Earners Low Spend",IF(AND(E154&lt;55,D154&gt;=55),"Impulsive Buyers",IF(AND(E154&lt;40,D154&lt;40),"Budget Conscious","Mid-Market"))))</f>
        <v>High Earners Low Spend</v>
      </c>
      <c r="I154" s="4"/>
    </row>
    <row r="155" spans="1:9">
      <c r="A155">
        <v>22</v>
      </c>
      <c r="B155" t="s">
        <v>6</v>
      </c>
      <c r="C155">
        <v>25</v>
      </c>
      <c r="D155">
        <v>24</v>
      </c>
      <c r="E155">
        <v>73</v>
      </c>
      <c r="F155" s="1" t="s">
        <v>11</v>
      </c>
      <c r="G155" t="str">
        <f>IF(AND(E155&gt;=55,D155&gt;=55),"Premium Loyalists",IF(AND(E155&gt;=55,D155&lt;55),"High Earners Low Spend",IF(AND(E155&lt;55,D155&gt;=55),"Impulsive Buyers",IF(AND(E155&lt;40,D155&lt;40),"Budget Conscious","Mid-Market"))))</f>
        <v>High Earners Low Spend</v>
      </c>
      <c r="I155" s="4"/>
    </row>
    <row r="156" spans="1:9">
      <c r="A156">
        <v>24</v>
      </c>
      <c r="B156" t="s">
        <v>6</v>
      </c>
      <c r="C156">
        <v>31</v>
      </c>
      <c r="D156">
        <v>25</v>
      </c>
      <c r="E156">
        <v>73</v>
      </c>
      <c r="F156" s="1" t="s">
        <v>11</v>
      </c>
      <c r="G156" t="str">
        <f>IF(AND(E156&gt;=55,D156&gt;=55),"Premium Loyalists",IF(AND(E156&gt;=55,D156&lt;55),"High Earners Low Spend",IF(AND(E156&lt;55,D156&gt;=55),"Impulsive Buyers",IF(AND(E156&lt;40,D156&lt;40),"Budget Conscious","Mid-Market"))))</f>
        <v>High Earners Low Spend</v>
      </c>
      <c r="I156" s="4"/>
    </row>
    <row r="157" spans="1:9">
      <c r="A157">
        <v>26</v>
      </c>
      <c r="B157" t="s">
        <v>6</v>
      </c>
      <c r="C157">
        <v>29</v>
      </c>
      <c r="D157">
        <v>28</v>
      </c>
      <c r="E157">
        <v>82</v>
      </c>
      <c r="F157" s="1" t="s">
        <v>12</v>
      </c>
      <c r="G157" t="str">
        <f>IF(AND(E157&gt;=55,D157&gt;=55),"Premium Loyalists",IF(AND(E157&gt;=55,D157&lt;55),"High Earners Low Spend",IF(AND(E157&lt;55,D157&gt;=55),"Impulsive Buyers",IF(AND(E157&lt;40,D157&lt;40),"Budget Conscious","Mid-Market"))))</f>
        <v>High Earners Low Spend</v>
      </c>
      <c r="I157" s="4"/>
    </row>
    <row r="158" spans="1:9">
      <c r="A158">
        <v>28</v>
      </c>
      <c r="B158" t="s">
        <v>6</v>
      </c>
      <c r="C158">
        <v>35</v>
      </c>
      <c r="D158">
        <v>28</v>
      </c>
      <c r="E158">
        <v>61</v>
      </c>
      <c r="F158" s="1" t="s">
        <v>12</v>
      </c>
      <c r="G158" t="str">
        <f>IF(AND(E158&gt;=55,D158&gt;=55),"Premium Loyalists",IF(AND(E158&gt;=55,D158&lt;55),"High Earners Low Spend",IF(AND(E158&lt;55,D158&gt;=55),"Impulsive Buyers",IF(AND(E158&lt;40,D158&lt;40),"Budget Conscious","Mid-Market"))))</f>
        <v>High Earners Low Spend</v>
      </c>
      <c r="I158" s="4"/>
    </row>
    <row r="159" spans="1:9">
      <c r="A159">
        <v>30</v>
      </c>
      <c r="B159" t="s">
        <v>7</v>
      </c>
      <c r="C159">
        <v>23</v>
      </c>
      <c r="D159">
        <v>29</v>
      </c>
      <c r="E159">
        <v>87</v>
      </c>
      <c r="F159" s="1" t="s">
        <v>12</v>
      </c>
      <c r="G159" t="str">
        <f>IF(AND(E159&gt;=55,D159&gt;=55),"Premium Loyalists",IF(AND(E159&gt;=55,D159&lt;55),"High Earners Low Spend",IF(AND(E159&lt;55,D159&gt;=55),"Impulsive Buyers",IF(AND(E159&lt;40,D159&lt;40),"Budget Conscious","Mid-Market"))))</f>
        <v>High Earners Low Spend</v>
      </c>
      <c r="I159" s="4"/>
    </row>
    <row r="160" spans="1:9">
      <c r="A160">
        <v>32</v>
      </c>
      <c r="B160" t="s">
        <v>7</v>
      </c>
      <c r="C160">
        <v>21</v>
      </c>
      <c r="D160">
        <v>30</v>
      </c>
      <c r="E160">
        <v>73</v>
      </c>
      <c r="F160" s="1" t="s">
        <v>12</v>
      </c>
      <c r="G160" t="str">
        <f>IF(AND(E160&gt;=55,D160&gt;=55),"Premium Loyalists",IF(AND(E160&gt;=55,D160&lt;55),"High Earners Low Spend",IF(AND(E160&lt;55,D160&gt;=55),"Impulsive Buyers",IF(AND(E160&lt;40,D160&lt;40),"Budget Conscious","Mid-Market"))))</f>
        <v>High Earners Low Spend</v>
      </c>
      <c r="I160" s="4"/>
    </row>
    <row r="161" spans="1:9">
      <c r="A161">
        <v>34</v>
      </c>
      <c r="B161" t="s">
        <v>6</v>
      </c>
      <c r="C161">
        <v>18</v>
      </c>
      <c r="D161">
        <v>33</v>
      </c>
      <c r="E161">
        <v>92</v>
      </c>
      <c r="F161" s="1" t="s">
        <v>12</v>
      </c>
      <c r="G161" t="str">
        <f>IF(AND(E161&gt;=55,D161&gt;=55),"Premium Loyalists",IF(AND(E161&gt;=55,D161&lt;55),"High Earners Low Spend",IF(AND(E161&lt;55,D161&gt;=55),"Impulsive Buyers",IF(AND(E161&lt;40,D161&lt;40),"Budget Conscious","Mid-Market"))))</f>
        <v>High Earners Low Spend</v>
      </c>
      <c r="I161" s="4"/>
    </row>
    <row r="162" spans="1:9">
      <c r="A162">
        <v>36</v>
      </c>
      <c r="B162" t="s">
        <v>7</v>
      </c>
      <c r="C162">
        <v>21</v>
      </c>
      <c r="D162">
        <v>33</v>
      </c>
      <c r="E162">
        <v>81</v>
      </c>
      <c r="F162" s="1" t="s">
        <v>12</v>
      </c>
      <c r="G162" t="str">
        <f>IF(AND(E162&gt;=55,D162&gt;=55),"Premium Loyalists",IF(AND(E162&gt;=55,D162&lt;55),"High Earners Low Spend",IF(AND(E162&lt;55,D162&gt;=55),"Impulsive Buyers",IF(AND(E162&lt;40,D162&lt;40),"Budget Conscious","Mid-Market"))))</f>
        <v>High Earners Low Spend</v>
      </c>
      <c r="I162" s="4"/>
    </row>
    <row r="163" spans="1:9">
      <c r="A163">
        <v>38</v>
      </c>
      <c r="B163" t="s">
        <v>7</v>
      </c>
      <c r="C163">
        <v>30</v>
      </c>
      <c r="D163">
        <v>34</v>
      </c>
      <c r="E163">
        <v>73</v>
      </c>
      <c r="F163" s="1" t="s">
        <v>12</v>
      </c>
      <c r="G163" t="str">
        <f>IF(AND(E163&gt;=55,D163&gt;=55),"Premium Loyalists",IF(AND(E163&gt;=55,D163&lt;55),"High Earners Low Spend",IF(AND(E163&lt;55,D163&gt;=55),"Impulsive Buyers",IF(AND(E163&lt;40,D163&lt;40),"Budget Conscious","Mid-Market"))))</f>
        <v>High Earners Low Spend</v>
      </c>
      <c r="I163" s="4"/>
    </row>
    <row r="164" spans="1:9">
      <c r="A164">
        <v>40</v>
      </c>
      <c r="B164" t="s">
        <v>7</v>
      </c>
      <c r="C164">
        <v>20</v>
      </c>
      <c r="D164">
        <v>37</v>
      </c>
      <c r="E164">
        <v>75</v>
      </c>
      <c r="F164" s="1" t="s">
        <v>13</v>
      </c>
      <c r="G164" t="str">
        <f>IF(AND(E164&gt;=55,D164&gt;=55),"Premium Loyalists",IF(AND(E164&gt;=55,D164&lt;55),"High Earners Low Spend",IF(AND(E164&lt;55,D164&gt;=55),"Impulsive Buyers",IF(AND(E164&lt;40,D164&lt;40),"Budget Conscious","Mid-Market"))))</f>
        <v>High Earners Low Spend</v>
      </c>
      <c r="I164" s="4"/>
    </row>
    <row r="165" spans="1:9">
      <c r="A165">
        <v>42</v>
      </c>
      <c r="B165" t="s">
        <v>6</v>
      </c>
      <c r="C165">
        <v>24</v>
      </c>
      <c r="D165">
        <v>38</v>
      </c>
      <c r="E165">
        <v>92</v>
      </c>
      <c r="F165" s="1" t="s">
        <v>13</v>
      </c>
      <c r="G165" t="str">
        <f>IF(AND(E165&gt;=55,D165&gt;=55),"Premium Loyalists",IF(AND(E165&gt;=55,D165&lt;55),"High Earners Low Spend",IF(AND(E165&lt;55,D165&gt;=55),"Impulsive Buyers",IF(AND(E165&lt;40,D165&lt;40),"Budget Conscious","Mid-Market"))))</f>
        <v>High Earners Low Spend</v>
      </c>
      <c r="I165" s="4"/>
    </row>
    <row r="166" spans="1:9">
      <c r="A166">
        <v>44</v>
      </c>
      <c r="B166" t="s">
        <v>7</v>
      </c>
      <c r="C166">
        <v>31</v>
      </c>
      <c r="D166">
        <v>39</v>
      </c>
      <c r="E166">
        <v>61</v>
      </c>
      <c r="F166" s="1" t="s">
        <v>13</v>
      </c>
      <c r="G166" t="str">
        <f>IF(AND(E166&gt;=55,D166&gt;=55),"Premium Loyalists",IF(AND(E166&gt;=55,D166&lt;55),"High Earners Low Spend",IF(AND(E166&lt;55,D166&gt;=55),"Impulsive Buyers",IF(AND(E166&lt;40,D166&lt;40),"Budget Conscious","Mid-Market"))))</f>
        <v>High Earners Low Spend</v>
      </c>
      <c r="I166" s="4"/>
    </row>
    <row r="167" spans="1:9">
      <c r="A167">
        <v>46</v>
      </c>
      <c r="B167" t="s">
        <v>7</v>
      </c>
      <c r="C167">
        <v>24</v>
      </c>
      <c r="D167">
        <v>39</v>
      </c>
      <c r="E167">
        <v>65</v>
      </c>
      <c r="F167" s="1" t="s">
        <v>13</v>
      </c>
      <c r="G167" t="str">
        <f>IF(AND(E167&gt;=55,D167&gt;=55),"Premium Loyalists",IF(AND(E167&gt;=55,D167&lt;55),"High Earners Low Spend",IF(AND(E167&lt;55,D167&gt;=55),"Impulsive Buyers",IF(AND(E167&lt;40,D167&lt;40),"Budget Conscious","Mid-Market"))))</f>
        <v>High Earners Low Spend</v>
      </c>
      <c r="I167" s="4"/>
    </row>
    <row r="168" spans="1:9">
      <c r="A168">
        <v>47</v>
      </c>
      <c r="B168" t="s">
        <v>7</v>
      </c>
      <c r="C168">
        <v>50</v>
      </c>
      <c r="D168">
        <v>40</v>
      </c>
      <c r="E168">
        <v>55</v>
      </c>
      <c r="F168" s="1" t="s">
        <v>13</v>
      </c>
      <c r="G168" t="str">
        <f>IF(AND(E168&gt;=55,D168&gt;=55),"Premium Loyalists",IF(AND(E168&gt;=55,D168&lt;55),"High Earners Low Spend",IF(AND(E168&lt;55,D168&gt;=55),"Impulsive Buyers",IF(AND(E168&lt;40,D168&lt;40),"Budget Conscious","Mid-Market"))))</f>
        <v>High Earners Low Spend</v>
      </c>
      <c r="I168" s="4"/>
    </row>
    <row r="169" spans="1:9">
      <c r="A169">
        <v>52</v>
      </c>
      <c r="B169" t="s">
        <v>6</v>
      </c>
      <c r="C169">
        <v>33</v>
      </c>
      <c r="D169">
        <v>42</v>
      </c>
      <c r="E169">
        <v>60</v>
      </c>
      <c r="F169" s="1" t="s">
        <v>13</v>
      </c>
      <c r="G169" t="str">
        <f>IF(AND(E169&gt;=55,D169&gt;=55),"Premium Loyalists",IF(AND(E169&gt;=55,D169&lt;55),"High Earners Low Spend",IF(AND(E169&lt;55,D169&gt;=55),"Impulsive Buyers",IF(AND(E169&lt;40,D169&lt;40),"Budget Conscious","Mid-Market"))))</f>
        <v>High Earners Low Spend</v>
      </c>
      <c r="I169" s="4"/>
    </row>
    <row r="170" spans="1:9">
      <c r="A170">
        <v>54</v>
      </c>
      <c r="B170" t="s">
        <v>6</v>
      </c>
      <c r="C170">
        <v>59</v>
      </c>
      <c r="D170">
        <v>43</v>
      </c>
      <c r="E170">
        <v>60</v>
      </c>
      <c r="F170" s="1" t="s">
        <v>13</v>
      </c>
      <c r="G170" t="str">
        <f>IF(AND(E170&gt;=55,D170&gt;=55),"Premium Loyalists",IF(AND(E170&gt;=55,D170&lt;55),"High Earners Low Spend",IF(AND(E170&lt;55,D170&gt;=55),"Impulsive Buyers",IF(AND(E170&lt;40,D170&lt;40),"Budget Conscious","Mid-Market"))))</f>
        <v>High Earners Low Spend</v>
      </c>
      <c r="I170" s="4"/>
    </row>
    <row r="171" spans="1:9">
      <c r="A171">
        <v>61</v>
      </c>
      <c r="B171" t="s">
        <v>6</v>
      </c>
      <c r="C171">
        <v>70</v>
      </c>
      <c r="D171">
        <v>46</v>
      </c>
      <c r="E171">
        <v>56</v>
      </c>
      <c r="F171" s="1" t="s">
        <v>15</v>
      </c>
      <c r="G171" t="str">
        <f>IF(AND(E171&gt;=55,D171&gt;=55),"Premium Loyalists",IF(AND(E171&gt;=55,D171&lt;55),"High Earners Low Spend",IF(AND(E171&lt;55,D171&gt;=55),"Impulsive Buyers",IF(AND(E171&lt;40,D171&lt;40),"Budget Conscious","Mid-Market"))))</f>
        <v>High Earners Low Spend</v>
      </c>
      <c r="I171" s="4"/>
    </row>
    <row r="172" spans="1:9">
      <c r="A172">
        <v>62</v>
      </c>
      <c r="B172" t="s">
        <v>6</v>
      </c>
      <c r="C172">
        <v>19</v>
      </c>
      <c r="D172">
        <v>46</v>
      </c>
      <c r="E172">
        <v>55</v>
      </c>
      <c r="F172" s="1" t="s">
        <v>15</v>
      </c>
      <c r="G172" t="str">
        <f>IF(AND(E172&gt;=55,D172&gt;=55),"Premium Loyalists",IF(AND(E172&gt;=55,D172&lt;55),"High Earners Low Spend",IF(AND(E172&lt;55,D172&gt;=55),"Impulsive Buyers",IF(AND(E172&lt;40,D172&lt;40),"Budget Conscious","Mid-Market"))))</f>
        <v>High Earners Low Spend</v>
      </c>
      <c r="I172" s="4"/>
    </row>
    <row r="173" spans="1:9">
      <c r="A173">
        <v>64</v>
      </c>
      <c r="B173" t="s">
        <v>7</v>
      </c>
      <c r="C173">
        <v>54</v>
      </c>
      <c r="D173">
        <v>47</v>
      </c>
      <c r="E173">
        <v>59</v>
      </c>
      <c r="F173" s="1" t="s">
        <v>15</v>
      </c>
      <c r="G173" t="str">
        <f>IF(AND(E173&gt;=55,D173&gt;=55),"Premium Loyalists",IF(AND(E173&gt;=55,D173&lt;55),"High Earners Low Spend",IF(AND(E173&lt;55,D173&gt;=55),"Impulsive Buyers",IF(AND(E173&lt;40,D173&lt;40),"Budget Conscious","Mid-Market"))))</f>
        <v>High Earners Low Spend</v>
      </c>
      <c r="I173" s="4"/>
    </row>
    <row r="174" spans="1:9">
      <c r="A174">
        <v>66</v>
      </c>
      <c r="B174" t="s">
        <v>6</v>
      </c>
      <c r="C174">
        <v>18</v>
      </c>
      <c r="D174">
        <v>48</v>
      </c>
      <c r="E174">
        <v>59</v>
      </c>
      <c r="F174" s="1" t="s">
        <v>15</v>
      </c>
      <c r="G174" t="str">
        <f>IF(AND(E174&gt;=55,D174&gt;=55),"Premium Loyalists",IF(AND(E174&gt;=55,D174&lt;55),"High Earners Low Spend",IF(AND(E174&lt;55,D174&gt;=55),"Impulsive Buyers",IF(AND(E174&lt;40,D174&lt;40),"Budget Conscious","Mid-Market"))))</f>
        <v>High Earners Low Spend</v>
      </c>
      <c r="I174" s="4"/>
    </row>
    <row r="175" spans="1:9">
      <c r="A175">
        <v>69</v>
      </c>
      <c r="B175" t="s">
        <v>6</v>
      </c>
      <c r="C175">
        <v>19</v>
      </c>
      <c r="D175">
        <v>48</v>
      </c>
      <c r="E175">
        <v>59</v>
      </c>
      <c r="F175" s="1" t="s">
        <v>15</v>
      </c>
      <c r="G175" t="str">
        <f>IF(AND(E175&gt;=55,D175&gt;=55),"Premium Loyalists",IF(AND(E175&gt;=55,D175&lt;55),"High Earners Low Spend",IF(AND(E175&lt;55,D175&gt;=55),"Impulsive Buyers",IF(AND(E175&lt;40,D175&lt;40),"Budget Conscious","Mid-Market"))))</f>
        <v>High Earners Low Spend</v>
      </c>
      <c r="I175" s="4"/>
    </row>
    <row r="176" spans="1:9">
      <c r="A176">
        <v>71</v>
      </c>
      <c r="B176" t="s">
        <v>6</v>
      </c>
      <c r="C176">
        <v>70</v>
      </c>
      <c r="D176">
        <v>49</v>
      </c>
      <c r="E176">
        <v>55</v>
      </c>
      <c r="F176" s="1" t="s">
        <v>15</v>
      </c>
      <c r="G176" t="str">
        <f>IF(AND(E176&gt;=55,D176&gt;=55),"Premium Loyalists",IF(AND(E176&gt;=55,D176&lt;55),"High Earners Low Spend",IF(AND(E176&lt;55,D176&gt;=55),"Impulsive Buyers",IF(AND(E176&lt;40,D176&lt;40),"Budget Conscious","Mid-Market"))))</f>
        <v>High Earners Low Spend</v>
      </c>
      <c r="I176" s="4"/>
    </row>
    <row r="177" spans="1:9">
      <c r="A177">
        <v>74</v>
      </c>
      <c r="B177" t="s">
        <v>7</v>
      </c>
      <c r="C177">
        <v>60</v>
      </c>
      <c r="D177">
        <v>50</v>
      </c>
      <c r="E177">
        <v>56</v>
      </c>
      <c r="F177" s="1" t="s">
        <v>15</v>
      </c>
      <c r="G177" t="str">
        <f>IF(AND(E177&gt;=55,D177&gt;=55),"Premium Loyalists",IF(AND(E177&gt;=55,D177&lt;55),"High Earners Low Spend",IF(AND(E177&lt;55,D177&gt;=55),"Impulsive Buyers",IF(AND(E177&lt;40,D177&lt;40),"Budget Conscious","Mid-Market"))))</f>
        <v>High Earners Low Spend</v>
      </c>
      <c r="I177" s="4"/>
    </row>
    <row r="178" spans="1:9">
      <c r="A178">
        <v>82</v>
      </c>
      <c r="B178" t="s">
        <v>6</v>
      </c>
      <c r="C178">
        <v>38</v>
      </c>
      <c r="D178">
        <v>54</v>
      </c>
      <c r="E178">
        <v>55</v>
      </c>
      <c r="F178" s="1" t="s">
        <v>15</v>
      </c>
      <c r="G178" t="str">
        <f>IF(AND(E178&gt;=55,D178&gt;=55),"Premium Loyalists",IF(AND(E178&gt;=55,D178&lt;55),"High Earners Low Spend",IF(AND(E178&lt;55,D178&gt;=55),"Impulsive Buyers",IF(AND(E178&lt;40,D178&lt;40),"Budget Conscious","Mid-Market"))))</f>
        <v>High Earners Low Spend</v>
      </c>
      <c r="I178" s="4"/>
    </row>
    <row r="179" spans="1:9">
      <c r="A179">
        <v>85</v>
      </c>
      <c r="B179" t="s">
        <v>7</v>
      </c>
      <c r="C179">
        <v>21</v>
      </c>
      <c r="D179">
        <v>54</v>
      </c>
      <c r="E179">
        <v>57</v>
      </c>
      <c r="F179" s="1" t="s">
        <v>15</v>
      </c>
      <c r="G179" t="str">
        <f>IF(AND(E179&gt;=55,D179&gt;=55),"Premium Loyalists",IF(AND(E179&gt;=55,D179&lt;55),"High Earners Low Spend",IF(AND(E179&lt;55,D179&gt;=55),"Impulsive Buyers",IF(AND(E179&lt;40,D179&lt;40),"Budget Conscious","Mid-Market"))))</f>
        <v>High Earners Low Spend</v>
      </c>
      <c r="I179" s="4"/>
    </row>
    <row r="180" spans="1:9">
      <c r="A180">
        <v>1</v>
      </c>
      <c r="B180" t="s">
        <v>6</v>
      </c>
      <c r="C180">
        <v>19</v>
      </c>
      <c r="D180">
        <v>15</v>
      </c>
      <c r="E180">
        <v>39</v>
      </c>
      <c r="F180" s="1" t="s">
        <v>11</v>
      </c>
      <c r="G180" t="str">
        <f>IF(AND(E180&gt;=55,D180&gt;=55),"Premium Loyalists",IF(AND(E180&gt;=55,D180&lt;55),"High Earners Low Spend",IF(AND(E180&lt;55,D180&gt;=55),"Impulsive Buyers",IF(AND(E180&lt;40,D180&lt;40),"Budget Conscious","Mid-Market"))))</f>
        <v>Budget Conscious</v>
      </c>
      <c r="I180" s="4"/>
    </row>
    <row r="181" spans="1:9">
      <c r="A181">
        <v>3</v>
      </c>
      <c r="B181" t="s">
        <v>7</v>
      </c>
      <c r="C181">
        <v>20</v>
      </c>
      <c r="D181">
        <v>16</v>
      </c>
      <c r="E181">
        <v>6</v>
      </c>
      <c r="F181" s="1" t="s">
        <v>11</v>
      </c>
      <c r="G181" t="str">
        <f>IF(AND(E181&gt;=55,D181&gt;=55),"Premium Loyalists",IF(AND(E181&gt;=55,D181&lt;55),"High Earners Low Spend",IF(AND(E181&lt;55,D181&gt;=55),"Impulsive Buyers",IF(AND(E181&lt;40,D181&lt;40),"Budget Conscious","Mid-Market"))))</f>
        <v>Budget Conscious</v>
      </c>
      <c r="I181" s="4"/>
    </row>
    <row r="182" spans="1:9">
      <c r="A182">
        <v>7</v>
      </c>
      <c r="B182" t="s">
        <v>7</v>
      </c>
      <c r="C182">
        <v>35</v>
      </c>
      <c r="D182">
        <v>18</v>
      </c>
      <c r="E182">
        <v>6</v>
      </c>
      <c r="F182" s="1" t="s">
        <v>11</v>
      </c>
      <c r="G182" t="str">
        <f>IF(AND(E182&gt;=55,D182&gt;=55),"Premium Loyalists",IF(AND(E182&gt;=55,D182&lt;55),"High Earners Low Spend",IF(AND(E182&lt;55,D182&gt;=55),"Impulsive Buyers",IF(AND(E182&lt;40,D182&lt;40),"Budget Conscious","Mid-Market"))))</f>
        <v>Budget Conscious</v>
      </c>
      <c r="I182" s="4"/>
    </row>
    <row r="183" spans="1:9">
      <c r="A183">
        <v>9</v>
      </c>
      <c r="B183" t="s">
        <v>6</v>
      </c>
      <c r="C183">
        <v>64</v>
      </c>
      <c r="D183">
        <v>19</v>
      </c>
      <c r="E183">
        <v>3</v>
      </c>
      <c r="F183" s="1" t="s">
        <v>11</v>
      </c>
      <c r="G183" t="str">
        <f>IF(AND(E183&gt;=55,D183&gt;=55),"Premium Loyalists",IF(AND(E183&gt;=55,D183&lt;55),"High Earners Low Spend",IF(AND(E183&lt;55,D183&gt;=55),"Impulsive Buyers",IF(AND(E183&lt;40,D183&lt;40),"Budget Conscious","Mid-Market"))))</f>
        <v>Budget Conscious</v>
      </c>
      <c r="I183" s="4"/>
    </row>
    <row r="184" spans="1:9">
      <c r="A184">
        <v>11</v>
      </c>
      <c r="B184" t="s">
        <v>6</v>
      </c>
      <c r="C184">
        <v>67</v>
      </c>
      <c r="D184">
        <v>19</v>
      </c>
      <c r="E184">
        <v>14</v>
      </c>
      <c r="F184" s="1" t="s">
        <v>11</v>
      </c>
      <c r="G184" t="str">
        <f>IF(AND(E184&gt;=55,D184&gt;=55),"Premium Loyalists",IF(AND(E184&gt;=55,D184&lt;55),"High Earners Low Spend",IF(AND(E184&lt;55,D184&gt;=55),"Impulsive Buyers",IF(AND(E184&lt;40,D184&lt;40),"Budget Conscious","Mid-Market"))))</f>
        <v>Budget Conscious</v>
      </c>
      <c r="I184" s="4"/>
    </row>
    <row r="185" spans="1:9">
      <c r="A185">
        <v>13</v>
      </c>
      <c r="B185" t="s">
        <v>7</v>
      </c>
      <c r="C185">
        <v>58</v>
      </c>
      <c r="D185">
        <v>20</v>
      </c>
      <c r="E185">
        <v>15</v>
      </c>
      <c r="F185" s="1" t="s">
        <v>11</v>
      </c>
      <c r="G185" t="str">
        <f>IF(AND(E185&gt;=55,D185&gt;=55),"Premium Loyalists",IF(AND(E185&gt;=55,D185&lt;55),"High Earners Low Spend",IF(AND(E185&lt;55,D185&gt;=55),"Impulsive Buyers",IF(AND(E185&lt;40,D185&lt;40),"Budget Conscious","Mid-Market"))))</f>
        <v>Budget Conscious</v>
      </c>
      <c r="I185" s="4"/>
    </row>
    <row r="186" spans="1:9">
      <c r="A186">
        <v>15</v>
      </c>
      <c r="B186" t="s">
        <v>6</v>
      </c>
      <c r="C186">
        <v>37</v>
      </c>
      <c r="D186">
        <v>20</v>
      </c>
      <c r="E186">
        <v>13</v>
      </c>
      <c r="F186" s="1" t="s">
        <v>11</v>
      </c>
      <c r="G186" t="str">
        <f>IF(AND(E186&gt;=55,D186&gt;=55),"Premium Loyalists",IF(AND(E186&gt;=55,D186&lt;55),"High Earners Low Spend",IF(AND(E186&lt;55,D186&gt;=55),"Impulsive Buyers",IF(AND(E186&lt;40,D186&lt;40),"Budget Conscious","Mid-Market"))))</f>
        <v>Budget Conscious</v>
      </c>
      <c r="I186" s="4"/>
    </row>
    <row r="187" spans="1:9">
      <c r="A187">
        <v>17</v>
      </c>
      <c r="B187" t="s">
        <v>7</v>
      </c>
      <c r="C187">
        <v>35</v>
      </c>
      <c r="D187">
        <v>21</v>
      </c>
      <c r="E187">
        <v>35</v>
      </c>
      <c r="F187" s="1" t="s">
        <v>11</v>
      </c>
      <c r="G187" t="str">
        <f>IF(AND(E187&gt;=55,D187&gt;=55),"Premium Loyalists",IF(AND(E187&gt;=55,D187&lt;55),"High Earners Low Spend",IF(AND(E187&lt;55,D187&gt;=55),"Impulsive Buyers",IF(AND(E187&lt;40,D187&lt;40),"Budget Conscious","Mid-Market"))))</f>
        <v>Budget Conscious</v>
      </c>
      <c r="I187" s="4"/>
    </row>
    <row r="188" spans="1:9">
      <c r="A188">
        <v>19</v>
      </c>
      <c r="B188" t="s">
        <v>6</v>
      </c>
      <c r="C188">
        <v>52</v>
      </c>
      <c r="D188">
        <v>23</v>
      </c>
      <c r="E188">
        <v>29</v>
      </c>
      <c r="F188" s="1" t="s">
        <v>11</v>
      </c>
      <c r="G188" t="str">
        <f>IF(AND(E188&gt;=55,D188&gt;=55),"Premium Loyalists",IF(AND(E188&gt;=55,D188&lt;55),"High Earners Low Spend",IF(AND(E188&lt;55,D188&gt;=55),"Impulsive Buyers",IF(AND(E188&lt;40,D188&lt;40),"Budget Conscious","Mid-Market"))))</f>
        <v>Budget Conscious</v>
      </c>
      <c r="I188" s="4"/>
    </row>
    <row r="189" spans="1:9">
      <c r="A189">
        <v>21</v>
      </c>
      <c r="B189" t="s">
        <v>6</v>
      </c>
      <c r="C189">
        <v>35</v>
      </c>
      <c r="D189">
        <v>24</v>
      </c>
      <c r="E189">
        <v>35</v>
      </c>
      <c r="F189" s="1" t="s">
        <v>11</v>
      </c>
      <c r="G189" t="str">
        <f>IF(AND(E189&gt;=55,D189&gt;=55),"Premium Loyalists",IF(AND(E189&gt;=55,D189&lt;55),"High Earners Low Spend",IF(AND(E189&lt;55,D189&gt;=55),"Impulsive Buyers",IF(AND(E189&lt;40,D189&lt;40),"Budget Conscious","Mid-Market"))))</f>
        <v>Budget Conscious</v>
      </c>
      <c r="I189" s="4"/>
    </row>
    <row r="190" spans="1:9">
      <c r="A190">
        <v>23</v>
      </c>
      <c r="B190" t="s">
        <v>7</v>
      </c>
      <c r="C190">
        <v>46</v>
      </c>
      <c r="D190">
        <v>25</v>
      </c>
      <c r="E190">
        <v>5</v>
      </c>
      <c r="F190" s="1" t="s">
        <v>11</v>
      </c>
      <c r="G190" t="str">
        <f>IF(AND(E190&gt;=55,D190&gt;=55),"Premium Loyalists",IF(AND(E190&gt;=55,D190&lt;55),"High Earners Low Spend",IF(AND(E190&lt;55,D190&gt;=55),"Impulsive Buyers",IF(AND(E190&lt;40,D190&lt;40),"Budget Conscious","Mid-Market"))))</f>
        <v>Budget Conscious</v>
      </c>
      <c r="I190" s="4"/>
    </row>
    <row r="191" spans="1:9">
      <c r="A191">
        <v>25</v>
      </c>
      <c r="B191" t="s">
        <v>7</v>
      </c>
      <c r="C191">
        <v>54</v>
      </c>
      <c r="D191">
        <v>28</v>
      </c>
      <c r="E191">
        <v>14</v>
      </c>
      <c r="F191" s="1" t="s">
        <v>12</v>
      </c>
      <c r="G191" t="str">
        <f>IF(AND(E191&gt;=55,D191&gt;=55),"Premium Loyalists",IF(AND(E191&gt;=55,D191&lt;55),"High Earners Low Spend",IF(AND(E191&lt;55,D191&gt;=55),"Impulsive Buyers",IF(AND(E191&lt;40,D191&lt;40),"Budget Conscious","Mid-Market"))))</f>
        <v>Budget Conscious</v>
      </c>
      <c r="I191" s="4"/>
    </row>
    <row r="192" spans="1:9">
      <c r="A192">
        <v>27</v>
      </c>
      <c r="B192" t="s">
        <v>7</v>
      </c>
      <c r="C192">
        <v>45</v>
      </c>
      <c r="D192">
        <v>28</v>
      </c>
      <c r="E192">
        <v>32</v>
      </c>
      <c r="F192" s="1" t="s">
        <v>12</v>
      </c>
      <c r="G192" t="str">
        <f>IF(AND(E192&gt;=55,D192&gt;=55),"Premium Loyalists",IF(AND(E192&gt;=55,D192&lt;55),"High Earners Low Spend",IF(AND(E192&lt;55,D192&gt;=55),"Impulsive Buyers",IF(AND(E192&lt;40,D192&lt;40),"Budget Conscious","Mid-Market"))))</f>
        <v>Budget Conscious</v>
      </c>
      <c r="I192" s="4"/>
    </row>
    <row r="193" spans="1:9">
      <c r="A193">
        <v>29</v>
      </c>
      <c r="B193" t="s">
        <v>7</v>
      </c>
      <c r="C193">
        <v>40</v>
      </c>
      <c r="D193">
        <v>29</v>
      </c>
      <c r="E193">
        <v>31</v>
      </c>
      <c r="F193" s="1" t="s">
        <v>12</v>
      </c>
      <c r="G193" t="str">
        <f>IF(AND(E193&gt;=55,D193&gt;=55),"Premium Loyalists",IF(AND(E193&gt;=55,D193&lt;55),"High Earners Low Spend",IF(AND(E193&lt;55,D193&gt;=55),"Impulsive Buyers",IF(AND(E193&lt;40,D193&lt;40),"Budget Conscious","Mid-Market"))))</f>
        <v>Budget Conscious</v>
      </c>
      <c r="I193" s="4"/>
    </row>
    <row r="194" spans="1:9">
      <c r="A194">
        <v>31</v>
      </c>
      <c r="B194" t="s">
        <v>6</v>
      </c>
      <c r="C194">
        <v>60</v>
      </c>
      <c r="D194">
        <v>30</v>
      </c>
      <c r="E194">
        <v>4</v>
      </c>
      <c r="F194" s="1" t="s">
        <v>12</v>
      </c>
      <c r="G194" t="str">
        <f>IF(AND(E194&gt;=55,D194&gt;=55),"Premium Loyalists",IF(AND(E194&gt;=55,D194&lt;55),"High Earners Low Spend",IF(AND(E194&lt;55,D194&gt;=55),"Impulsive Buyers",IF(AND(E194&lt;40,D194&lt;40),"Budget Conscious","Mid-Market"))))</f>
        <v>Budget Conscious</v>
      </c>
      <c r="I194" s="4"/>
    </row>
    <row r="195" spans="1:9">
      <c r="A195">
        <v>33</v>
      </c>
      <c r="B195" t="s">
        <v>6</v>
      </c>
      <c r="C195">
        <v>53</v>
      </c>
      <c r="D195">
        <v>33</v>
      </c>
      <c r="E195">
        <v>4</v>
      </c>
      <c r="F195" s="1" t="s">
        <v>12</v>
      </c>
      <c r="G195" t="str">
        <f>IF(AND(E195&gt;=55,D195&gt;=55),"Premium Loyalists",IF(AND(E195&gt;=55,D195&lt;55),"High Earners Low Spend",IF(AND(E195&lt;55,D195&gt;=55),"Impulsive Buyers",IF(AND(E195&lt;40,D195&lt;40),"Budget Conscious","Mid-Market"))))</f>
        <v>Budget Conscious</v>
      </c>
      <c r="I195" s="4"/>
    </row>
    <row r="196" spans="1:9">
      <c r="A196">
        <v>35</v>
      </c>
      <c r="B196" t="s">
        <v>7</v>
      </c>
      <c r="C196">
        <v>49</v>
      </c>
      <c r="D196">
        <v>33</v>
      </c>
      <c r="E196">
        <v>14</v>
      </c>
      <c r="F196" s="1" t="s">
        <v>12</v>
      </c>
      <c r="G196" t="str">
        <f>IF(AND(E196&gt;=55,D196&gt;=55),"Premium Loyalists",IF(AND(E196&gt;=55,D196&lt;55),"High Earners Low Spend",IF(AND(E196&lt;55,D196&gt;=55),"Impulsive Buyers",IF(AND(E196&lt;40,D196&lt;40),"Budget Conscious","Mid-Market"))))</f>
        <v>Budget Conscious</v>
      </c>
      <c r="I196" s="4"/>
    </row>
    <row r="197" spans="1:9">
      <c r="A197">
        <v>37</v>
      </c>
      <c r="B197" t="s">
        <v>7</v>
      </c>
      <c r="C197">
        <v>42</v>
      </c>
      <c r="D197">
        <v>34</v>
      </c>
      <c r="E197">
        <v>17</v>
      </c>
      <c r="F197" s="1" t="s">
        <v>12</v>
      </c>
      <c r="G197" t="str">
        <f>IF(AND(E197&gt;=55,D197&gt;=55),"Premium Loyalists",IF(AND(E197&gt;=55,D197&lt;55),"High Earners Low Spend",IF(AND(E197&lt;55,D197&gt;=55),"Impulsive Buyers",IF(AND(E197&lt;40,D197&lt;40),"Budget Conscious","Mid-Market"))))</f>
        <v>Budget Conscious</v>
      </c>
      <c r="I197" s="4"/>
    </row>
    <row r="198" spans="1:9">
      <c r="A198">
        <v>39</v>
      </c>
      <c r="B198" t="s">
        <v>7</v>
      </c>
      <c r="C198">
        <v>36</v>
      </c>
      <c r="D198">
        <v>37</v>
      </c>
      <c r="E198">
        <v>26</v>
      </c>
      <c r="F198" s="1" t="s">
        <v>13</v>
      </c>
      <c r="G198" t="str">
        <f>IF(AND(E198&gt;=55,D198&gt;=55),"Premium Loyalists",IF(AND(E198&gt;=55,D198&lt;55),"High Earners Low Spend",IF(AND(E198&lt;55,D198&gt;=55),"Impulsive Buyers",IF(AND(E198&lt;40,D198&lt;40),"Budget Conscious","Mid-Market"))))</f>
        <v>Budget Conscious</v>
      </c>
      <c r="I198" s="4"/>
    </row>
    <row r="199" spans="1:9">
      <c r="A199">
        <v>41</v>
      </c>
      <c r="B199" t="s">
        <v>7</v>
      </c>
      <c r="C199">
        <v>65</v>
      </c>
      <c r="D199">
        <v>38</v>
      </c>
      <c r="E199">
        <v>35</v>
      </c>
      <c r="F199" s="1" t="s">
        <v>13</v>
      </c>
      <c r="G199" t="str">
        <f>IF(AND(E199&gt;=55,D199&gt;=55),"Premium Loyalists",IF(AND(E199&gt;=55,D199&lt;55),"High Earners Low Spend",IF(AND(E199&lt;55,D199&gt;=55),"Impulsive Buyers",IF(AND(E199&lt;40,D199&lt;40),"Budget Conscious","Mid-Market"))))</f>
        <v>Budget Conscious</v>
      </c>
      <c r="I199" s="4"/>
    </row>
    <row r="200" spans="1:9">
      <c r="A200">
        <v>43</v>
      </c>
      <c r="B200" t="s">
        <v>6</v>
      </c>
      <c r="C200">
        <v>48</v>
      </c>
      <c r="D200">
        <v>39</v>
      </c>
      <c r="E200">
        <v>36</v>
      </c>
      <c r="F200" s="1" t="s">
        <v>13</v>
      </c>
      <c r="G200" t="str">
        <f>IF(AND(E200&gt;=55,D200&gt;=55),"Premium Loyalists",IF(AND(E200&gt;=55,D200&lt;55),"High Earners Low Spend",IF(AND(E200&lt;55,D200&gt;=55),"Impulsive Buyers",IF(AND(E200&lt;40,D200&lt;40),"Budget Conscious","Mid-Market"))))</f>
        <v>Budget Conscious</v>
      </c>
      <c r="I200" s="4"/>
    </row>
    <row r="201" spans="1:9">
      <c r="A201">
        <v>45</v>
      </c>
      <c r="B201" t="s">
        <v>7</v>
      </c>
      <c r="C201">
        <v>49</v>
      </c>
      <c r="D201">
        <v>39</v>
      </c>
      <c r="E201">
        <v>28</v>
      </c>
      <c r="F201" s="1" t="s">
        <v>13</v>
      </c>
      <c r="G201" t="str">
        <f>IF(AND(E201&gt;=55,D201&gt;=55),"Premium Loyalists",IF(AND(E201&gt;=55,D201&lt;55),"High Earners Low Spend",IF(AND(E201&lt;55,D201&gt;=55),"Impulsive Buyers",IF(AND(E201&lt;40,D201&lt;40),"Budget Conscious","Mid-Market"))))</f>
        <v>Budget Conscious</v>
      </c>
      <c r="I201" s="4"/>
    </row>
    <row r="202" spans="1:9">
      <c r="I202" s="4"/>
    </row>
    <row r="203" spans="1:9">
      <c r="I203" s="4"/>
    </row>
    <row r="204" spans="1:9">
      <c r="I204" s="4"/>
    </row>
    <row r="205" spans="1:9">
      <c r="I205" s="4"/>
    </row>
    <row r="206" spans="1:9">
      <c r="I206" s="4"/>
    </row>
    <row r="207" spans="1:9">
      <c r="I207" s="4"/>
    </row>
    <row r="208" spans="1:9">
      <c r="I208" s="4"/>
    </row>
    <row r="209" spans="9:9">
      <c r="I209" s="4"/>
    </row>
  </sheetData>
  <sortState xmlns:xlrd2="http://schemas.microsoft.com/office/spreadsheetml/2017/richdata2" ref="A2:G201">
    <sortCondition descending="1" ref="G2:G201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1D7A-823C-4A90-BE1A-484D1A2CD9EF}">
  <dimension ref="Q4:U9"/>
  <sheetViews>
    <sheetView tabSelected="1" topLeftCell="O1" workbookViewId="0">
      <selection activeCell="S9" sqref="S9"/>
    </sheetView>
  </sheetViews>
  <sheetFormatPr defaultRowHeight="15"/>
  <cols>
    <col min="17" max="17" width="22" bestFit="1" customWidth="1"/>
    <col min="18" max="18" width="18.5703125" bestFit="1" customWidth="1"/>
    <col min="19" max="19" width="17.42578125" bestFit="1" customWidth="1"/>
    <col min="20" max="20" width="20.5703125" bestFit="1" customWidth="1"/>
    <col min="21" max="21" width="36.5703125" bestFit="1" customWidth="1"/>
  </cols>
  <sheetData>
    <row r="4" spans="17:21">
      <c r="Q4" t="s">
        <v>23</v>
      </c>
      <c r="R4" t="s">
        <v>24</v>
      </c>
      <c r="S4" t="s">
        <v>25</v>
      </c>
      <c r="T4" t="s">
        <v>26</v>
      </c>
      <c r="U4" t="s">
        <v>27</v>
      </c>
    </row>
    <row r="5" spans="17:21" ht="30.75">
      <c r="Q5" s="5" t="s">
        <v>28</v>
      </c>
      <c r="R5" s="6">
        <v>50</v>
      </c>
      <c r="S5" s="6">
        <v>81.2</v>
      </c>
      <c r="T5" s="6">
        <v>76.62</v>
      </c>
      <c r="U5" s="4" t="s">
        <v>29</v>
      </c>
    </row>
    <row r="6" spans="17:21" ht="30.75">
      <c r="Q6" s="5" t="s">
        <v>20</v>
      </c>
      <c r="R6" s="6">
        <v>35</v>
      </c>
      <c r="S6" s="6">
        <v>33.49</v>
      </c>
      <c r="T6" s="6">
        <v>71.23</v>
      </c>
      <c r="U6" s="4" t="s">
        <v>30</v>
      </c>
    </row>
    <row r="7" spans="17:21" ht="30.75">
      <c r="Q7" s="5" t="s">
        <v>31</v>
      </c>
      <c r="R7" s="6">
        <v>29</v>
      </c>
      <c r="S7" s="6">
        <v>47.1</v>
      </c>
      <c r="T7" s="6">
        <v>47.34</v>
      </c>
      <c r="U7" s="4" t="s">
        <v>32</v>
      </c>
    </row>
    <row r="8" spans="17:21" ht="30.75">
      <c r="Q8" s="5" t="s">
        <v>33</v>
      </c>
      <c r="R8" s="6">
        <v>64</v>
      </c>
      <c r="S8" s="8">
        <v>76.97</v>
      </c>
      <c r="T8" s="6">
        <v>29.72</v>
      </c>
      <c r="U8" s="4" t="s">
        <v>34</v>
      </c>
    </row>
    <row r="9" spans="17:21">
      <c r="Q9" s="5" t="s">
        <v>18</v>
      </c>
      <c r="R9" s="6">
        <v>22</v>
      </c>
      <c r="S9" s="6">
        <v>26.72</v>
      </c>
      <c r="T9" s="7">
        <v>20.05</v>
      </c>
      <c r="U9" t="s">
        <v>35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Hifza Khalid</cp:lastModifiedBy>
  <cp:revision/>
  <dcterms:created xsi:type="dcterms:W3CDTF">2026-05-18T21:40:17Z</dcterms:created>
  <dcterms:modified xsi:type="dcterms:W3CDTF">2026-05-19T11:50:54Z</dcterms:modified>
  <cp:category/>
  <cp:contentStatus/>
</cp:coreProperties>
</file>